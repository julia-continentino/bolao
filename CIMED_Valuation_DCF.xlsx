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Historico" sheetId="2" state="visible" r:id="rId2"/>
    <sheet name="WACC" sheetId="3" state="visible" r:id="rId3"/>
    <sheet name="Premissas" sheetId="4" state="visible" r:id="rId4"/>
    <sheet name="Capital_de_Giro" sheetId="5" state="visible" r:id="rId5"/>
    <sheet name="Projecoes" sheetId="6" state="visible" r:id="rId6"/>
    <sheet name="DCF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&quot;x&quot;"/>
    <numFmt numFmtId="167" formatCode="0&quot;d&quot;"/>
    <numFmt numFmtId="168" formatCode="0.000"/>
    <numFmt numFmtId="169" formatCode="&quot;R$ &quot;#,##0.00&quot; bi&quot;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595959"/>
      <sz val="9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color rgb="00808080"/>
      <sz val="9"/>
    </font>
    <font>
      <name val="Calibri"/>
      <b val="1"/>
      <color rgb="00FFFFFF"/>
      <sz val="13"/>
    </font>
    <font>
      <name val="Calibri"/>
      <b val="1"/>
      <color rgb="00FFFFFF"/>
      <sz val="15"/>
    </font>
    <font>
      <name val="Calibri"/>
      <color rgb="00595959"/>
      <sz val="10"/>
    </font>
    <font>
      <name val="Calibri"/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3" fontId="5" fillId="5" borderId="1" applyAlignment="1" pivotButton="0" quotePrefix="0" xfId="0">
      <alignment horizontal="right" vertical="center"/>
    </xf>
    <xf numFmtId="10" fontId="5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164" fontId="5" fillId="7" borderId="1" applyAlignment="1" pivotButton="0" quotePrefix="0" xfId="0">
      <alignment horizontal="right" vertical="center"/>
    </xf>
    <xf numFmtId="0" fontId="2" fillId="0" borderId="0" applyAlignment="1" pivotButton="0" quotePrefix="0" xfId="0">
      <alignment vertical="top" wrapText="1"/>
    </xf>
    <xf numFmtId="169" fontId="5" fillId="6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165" fontId="4" fillId="7" borderId="1" applyAlignment="1" pivotButton="0" quotePrefix="0" xfId="0">
      <alignment horizontal="right" vertical="center"/>
    </xf>
    <xf numFmtId="2" fontId="4" fillId="7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  <xf numFmtId="10" fontId="5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left" vertical="center"/>
    </xf>
    <xf numFmtId="164" fontId="5" fillId="8" borderId="1" applyAlignment="1" pivotButton="0" quotePrefix="0" xfId="0">
      <alignment horizontal="right" vertical="center"/>
    </xf>
    <xf numFmtId="166" fontId="4" fillId="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3" fontId="4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right" vertical="center"/>
    </xf>
    <xf numFmtId="1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7" customWidth="1" min="3" max="3"/>
    <col width="3" customWidth="1" min="4" max="4"/>
    <col width="20" customWidth="1" min="5" max="5"/>
    <col width="16" customWidth="1" min="6" max="6"/>
    <col width="3" customWidth="1" min="7" max="7"/>
  </cols>
  <sheetData>
    <row r="2" ht="30" customHeight="1">
      <c r="B2" s="1" t="inlineStr">
        <is>
          <t>CIMED &amp; CO S.A. — Valuation para IPO (DCF + Múltiplos)</t>
        </is>
      </c>
    </row>
    <row r="3" ht="16" customHeight="1">
      <c r="B3" s="2" t="inlineStr">
        <is>
          <t>Empresa de capital fechado em preparação para IPO. Valor de mercado por comparáveis (B3) reconciliado com DCF. Base: DFs auditadas 2025.</t>
        </is>
      </c>
    </row>
    <row r="5">
      <c r="B5" s="3" t="inlineStr">
        <is>
          <t>CONCLUSÃO DO VALUATION (R$ milhões)</t>
        </is>
      </c>
      <c r="E5" s="3" t="inlineStr">
        <is>
          <t>PREMISSAS-CHAVE</t>
        </is>
      </c>
    </row>
    <row r="6">
      <c r="B6" s="4" t="inlineStr">
        <is>
          <t>Enterprise Value (DCF)</t>
        </is>
      </c>
      <c r="C6" s="5">
        <f>DCF!C19</f>
        <v>4088.489283</v>
        <v/>
      </c>
      <c r="E6" s="4" t="inlineStr">
        <is>
          <t>WACC</t>
        </is>
      </c>
      <c r="F6" s="6">
        <f>WACC!C22</f>
        <v>0.144082</v>
        <v/>
      </c>
    </row>
    <row r="7">
      <c r="B7" s="4" t="inlineStr">
        <is>
          <t>(-) Dívida líquida (2025)</t>
        </is>
      </c>
      <c r="C7" s="5">
        <f>-Premissas!C22</f>
        <v>-1353.046</v>
        <v/>
      </c>
      <c r="E7" s="4" t="inlineStr">
        <is>
          <t>Crescimento perpétuo (g)</t>
        </is>
      </c>
      <c r="F7" s="7">
        <f>Premissas!C15</f>
        <v>0.05</v>
        <v/>
      </c>
    </row>
    <row r="8">
      <c r="B8" s="4">
        <f> Equity Value (DCF)</f>
        <v/>
      </c>
      <c r="C8" s="8">
        <f>DCF!C23</f>
        <v>2735.443283</v>
        <v/>
      </c>
      <c r="E8" s="4" t="inlineStr">
        <is>
          <t>EV/EBITDA (mercado)</t>
        </is>
      </c>
      <c r="F8" s="9">
        <f>Premissas!C29</f>
        <v>7.0</v>
        <v/>
      </c>
    </row>
    <row r="9">
      <c r="E9" s="4" t="inlineStr">
        <is>
          <t>EBITDA 2025A</t>
        </is>
      </c>
      <c r="F9" s="5">
        <f>Premissas!C8</f>
        <v>480.161</v>
        <v/>
      </c>
    </row>
    <row r="10">
      <c r="B10" s="4" t="inlineStr">
        <is>
          <t>Enterprise Value (múltiplos 7,0x)</t>
        </is>
      </c>
      <c r="C10" s="5">
        <f>Premissas!C30</f>
        <v>4088.489283</v>
        <v/>
      </c>
      <c r="E10" s="4" t="inlineStr">
        <is>
          <t>Margem EBITDA 2025 → 2030E</t>
        </is>
      </c>
      <c r="F10" s="7">
        <f>Premissas!C9</f>
        <v>0.156527</v>
        <v/>
      </c>
    </row>
    <row r="11">
      <c r="B11" s="4">
        <f> Equity Value (múltiplos)</f>
        <v/>
      </c>
      <c r="C11" s="8">
        <f>Premissas!C32</f>
        <v>2735.443283</v>
        <v/>
      </c>
      <c r="E11" s="4" t="inlineStr">
        <is>
          <t>Dívida líquida / EBITDA</t>
        </is>
      </c>
      <c r="F11" s="9">
        <f>Premissas!C22/Premissas!C8</f>
        <v>2.817901</v>
        <v/>
      </c>
    </row>
    <row r="12">
      <c r="E12" s="4" t="inlineStr">
        <is>
          <t>Receita líquida 2025A</t>
        </is>
      </c>
      <c r="F12" s="5">
        <f>Premissas!C5</f>
        <v>3067.594</v>
        <v/>
      </c>
    </row>
    <row r="13">
      <c r="B13" s="10" t="inlineStr">
        <is>
          <t>Δ DCF − Mercado (deve ≈ 0)</t>
        </is>
      </c>
      <c r="C13" s="11">
        <f>DCF!C19-Premissas!C30</f>
        <v>0.0</v>
        <v/>
      </c>
    </row>
    <row r="14">
      <c r="E14" s="12" t="inlineStr">
        <is>
          <t>Metodologia (IPO): valor de mercado estimado por múltiplo EV/EBITDA de comparáveis listadas (Hypera 7,56x; CIMED a 7,0x forward) e reconciliado com DCF. O WACC (14,4%) é construído bottom-up (aba WACC) com dados de mercado brasileiros (Rf NTN-B, ERP FGV) e equivale à taxa que iguala o DCF ao valor de mercado. Projeções alinhadas ao setor: crescimento ~12%→6,5% (mercado farma BR ~10-12%), margem EBITDA recuperando de 15,7% para 21% (média histórica), capex e capital de giro normalizando após o pico de 2025. Células amarelas = inputs editáveis.</t>
        </is>
      </c>
    </row>
    <row r="15">
      <c r="B15" s="4" t="inlineStr">
        <is>
          <t>EQUITY VALUE (R$ bilhões)</t>
        </is>
      </c>
      <c r="C15" s="13">
        <f>DCF!C23/1000</f>
        <v>2.735443</v>
        <v/>
      </c>
    </row>
    <row r="16"/>
    <row r="17">
      <c r="B17" s="12" t="inlineStr">
        <is>
          <t>Abas:
• Historico — DFs auditadas 2024/25
• WACC — cálculo do custo de capital
• Premissas — drivers + múltiplos
• Capital_de_Giro — ciclo de caixa e ΔWC
• Projecoes — DRE → FCFF
• DCF — desconto e conclusão</t>
        </is>
      </c>
    </row>
    <row r="18"/>
    <row r="19"/>
    <row r="20"/>
    <row r="21"/>
    <row r="22"/>
    <row r="23"/>
  </sheetData>
  <mergeCells count="4">
    <mergeCell ref="B2:F2"/>
    <mergeCell ref="E14:F23"/>
    <mergeCell ref="B3:F3"/>
    <mergeCell ref="B17:C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30" customWidth="1" min="5" max="5"/>
  </cols>
  <sheetData>
    <row r="2">
      <c r="B2" s="14" t="inlineStr">
        <is>
          <t>CIMED &amp; CO S.A. — Demonstrações Financeiras Consolidadas (auditadas KPMG, 17/03/2026)</t>
        </is>
      </c>
    </row>
    <row r="3">
      <c r="B3" s="15" t="inlineStr">
        <is>
          <t>R$ milhões. Fonte: DFs Cimed &amp; Co S.A. de 31/12/2025 e 2024 (documento do RI).</t>
        </is>
      </c>
    </row>
    <row r="5">
      <c r="B5" s="16" t="inlineStr">
        <is>
          <t>DEMONSTRAÇÃO DO RESULTADO</t>
        </is>
      </c>
      <c r="C5" s="17" t="inlineStr">
        <is>
          <t>2025</t>
        </is>
      </c>
      <c r="D5" s="17" t="inlineStr">
        <is>
          <t>2024</t>
        </is>
      </c>
    </row>
    <row r="6">
      <c r="B6" s="18" t="inlineStr">
        <is>
          <t>Receita bruta de venda</t>
        </is>
      </c>
      <c r="C6" s="19" t="n">
        <v>3935.529</v>
      </c>
      <c r="D6" s="19" t="n">
        <v>3494.34</v>
      </c>
    </row>
    <row r="7">
      <c r="B7" s="18" t="inlineStr">
        <is>
          <t>(-) Deduções</t>
        </is>
      </c>
      <c r="C7" s="19" t="n">
        <v>-867.9349999999999</v>
      </c>
      <c r="D7" s="19" t="n">
        <v>-767.453</v>
      </c>
    </row>
    <row r="8">
      <c r="B8" s="20" t="inlineStr">
        <is>
          <t>Receita líquida de venda</t>
        </is>
      </c>
      <c r="C8" s="21" t="n">
        <v>3067.594</v>
      </c>
      <c r="D8" s="21" t="n">
        <v>2726.887</v>
      </c>
    </row>
    <row r="9">
      <c r="B9" s="18" t="inlineStr">
        <is>
          <t>(-) Custo das mercadorias vendidas</t>
        </is>
      </c>
      <c r="C9" s="19" t="n">
        <v>-1684.485</v>
      </c>
      <c r="D9" s="19" t="n">
        <v>-1402.853</v>
      </c>
    </row>
    <row r="10">
      <c r="B10" s="10">
        <f> Lucro bruto</f>
        <v/>
      </c>
      <c r="C10" s="22" t="n">
        <v>1383.109</v>
      </c>
      <c r="D10" s="22" t="n">
        <v>1324.034</v>
      </c>
    </row>
    <row r="11">
      <c r="B11" s="18" t="inlineStr">
        <is>
          <t>(-) Despesas comerciais</t>
        </is>
      </c>
      <c r="C11" s="19" t="n">
        <v>-621.016</v>
      </c>
      <c r="D11" s="19" t="n">
        <v>-539.982</v>
      </c>
    </row>
    <row r="12">
      <c r="B12" s="18" t="inlineStr">
        <is>
          <t>(-) Despesas administrativas</t>
        </is>
      </c>
      <c r="C12" s="19" t="n">
        <v>-396.865</v>
      </c>
      <c r="D12" s="19" t="n">
        <v>-318.157</v>
      </c>
    </row>
    <row r="13">
      <c r="B13" s="18" t="inlineStr">
        <is>
          <t>(-) Perdas de crédito esperadas</t>
        </is>
      </c>
      <c r="C13" s="19" t="n">
        <v>-18.226</v>
      </c>
      <c r="D13" s="19" t="n">
        <v>-9.775</v>
      </c>
    </row>
    <row r="14">
      <c r="B14" s="18" t="inlineStr">
        <is>
          <t>(+) Outras receitas (despesas) operacionais</t>
        </is>
      </c>
      <c r="C14" s="19" t="n">
        <v>11.825</v>
      </c>
      <c r="D14" s="19" t="n">
        <v>5.022</v>
      </c>
    </row>
    <row r="15">
      <c r="B15" s="23">
        <f> EBIT</f>
        <v/>
      </c>
      <c r="C15" s="24" t="n">
        <v>358.827</v>
      </c>
      <c r="D15" s="24" t="n">
        <v>461.142</v>
      </c>
    </row>
    <row r="16">
      <c r="B16" s="18" t="inlineStr">
        <is>
          <t>(+) Depreciação &amp; amortização</t>
        </is>
      </c>
      <c r="C16" s="19" t="n">
        <v>121.334</v>
      </c>
      <c r="D16" s="19" t="n">
        <v>113.842</v>
      </c>
      <c r="E16" s="25" t="inlineStr">
        <is>
          <t>CMV 37,5 + Opex 83,9 (2025)</t>
        </is>
      </c>
    </row>
    <row r="17">
      <c r="B17" s="23">
        <f> EBITDA</f>
        <v/>
      </c>
      <c r="C17" s="24" t="n">
        <v>480.161</v>
      </c>
      <c r="D17" s="24" t="n">
        <v>574.984</v>
      </c>
    </row>
    <row r="18">
      <c r="B18" s="18" t="inlineStr">
        <is>
          <t xml:space="preserve">  margem EBITDA</t>
        </is>
      </c>
      <c r="C18" s="26" t="n">
        <v>0.1565269067549356</v>
      </c>
      <c r="D18" s="26" t="n">
        <v>0.2108572889158957</v>
      </c>
      <c r="E18" s="25" t="inlineStr">
        <is>
          <t>15,7% (trough) vs. 21,1%</t>
        </is>
      </c>
    </row>
    <row r="19">
      <c r="B19" s="18" t="inlineStr">
        <is>
          <t>(+/-) Resultado financeiro</t>
        </is>
      </c>
      <c r="C19" s="19" t="n">
        <v>-204.438</v>
      </c>
      <c r="D19" s="19" t="n">
        <v>-190.028</v>
      </c>
    </row>
    <row r="20">
      <c r="B20" s="18">
        <f> Lucro antes dos tributos</f>
        <v/>
      </c>
      <c r="C20" s="19" t="n">
        <v>154.389</v>
      </c>
      <c r="D20" s="19" t="n">
        <v>271.114</v>
      </c>
    </row>
    <row r="21">
      <c r="B21" s="18" t="inlineStr">
        <is>
          <t>(+/-) Tributos sobre o lucro</t>
        </is>
      </c>
      <c r="C21" s="19" t="n">
        <v>42.32</v>
      </c>
      <c r="D21" s="19" t="n">
        <v>9.835000000000001</v>
      </c>
      <c r="E21" s="25" t="inlineStr">
        <is>
          <t>benefício: créd. presumido ICMS R$74mi + JCP R$23mi</t>
        </is>
      </c>
    </row>
    <row r="22">
      <c r="B22" s="20">
        <f> Lucro líquido</f>
        <v/>
      </c>
      <c r="C22" s="21" t="n">
        <v>196.709</v>
      </c>
      <c r="D22" s="21" t="n">
        <v>280.949</v>
      </c>
    </row>
    <row r="24">
      <c r="B24" s="16" t="inlineStr">
        <is>
          <t>BALANÇO PATRIMONIAL (resumo)</t>
        </is>
      </c>
      <c r="C24" s="17" t="inlineStr">
        <is>
          <t>2025</t>
        </is>
      </c>
      <c r="D24" s="17" t="inlineStr">
        <is>
          <t>2024</t>
        </is>
      </c>
    </row>
    <row r="25">
      <c r="B25" s="18" t="inlineStr">
        <is>
          <t>Caixa e equivalentes + TVM</t>
        </is>
      </c>
      <c r="C25" s="19" t="n">
        <v>438.377</v>
      </c>
      <c r="D25" s="19" t="n">
        <v>701.389</v>
      </c>
    </row>
    <row r="26">
      <c r="B26" s="18" t="inlineStr">
        <is>
          <t>Contas a receber</t>
        </is>
      </c>
      <c r="C26" s="19" t="n">
        <v>1106.327</v>
      </c>
      <c r="D26" s="19" t="n">
        <v>757.47</v>
      </c>
    </row>
    <row r="27">
      <c r="B27" s="18" t="inlineStr">
        <is>
          <t>Estoques</t>
        </is>
      </c>
      <c r="C27" s="19" t="n">
        <v>699.5069999999999</v>
      </c>
      <c r="D27" s="19" t="n">
        <v>507.999</v>
      </c>
    </row>
    <row r="28">
      <c r="B28" s="18" t="inlineStr">
        <is>
          <t>Imobilizado + Direito de uso + Intangível</t>
        </is>
      </c>
      <c r="C28" s="19" t="n">
        <v>1370.004</v>
      </c>
      <c r="D28" s="19" t="n">
        <v>1059.08</v>
      </c>
    </row>
    <row r="29">
      <c r="B29" s="10" t="inlineStr">
        <is>
          <t>Total do ativo</t>
        </is>
      </c>
      <c r="C29" s="22" t="n">
        <v>4217.164</v>
      </c>
      <c r="D29" s="22" t="n">
        <v>3453.464</v>
      </c>
    </row>
    <row r="30">
      <c r="B30" s="18" t="inlineStr">
        <is>
          <t>Fornecedores</t>
        </is>
      </c>
      <c r="C30" s="19" t="n">
        <v>677.3920000000001</v>
      </c>
      <c r="D30" s="19" t="n">
        <v>623.978</v>
      </c>
    </row>
    <row r="31">
      <c r="B31" s="18" t="inlineStr">
        <is>
          <t>Empréstimos, financiamentos e debêntures</t>
        </is>
      </c>
      <c r="C31" s="19" t="n">
        <v>1633.539</v>
      </c>
      <c r="D31" s="19" t="n">
        <v>1402.87</v>
      </c>
    </row>
    <row r="32">
      <c r="B32" s="18" t="inlineStr">
        <is>
          <t>Passivo de arrendamento (leasing)</t>
        </is>
      </c>
      <c r="C32" s="19" t="n">
        <v>157.884</v>
      </c>
      <c r="D32" s="19" t="n">
        <v>68.85899999999999</v>
      </c>
    </row>
    <row r="33">
      <c r="B33" s="20" t="inlineStr">
        <is>
          <t>Patrimônio líquido total</t>
        </is>
      </c>
      <c r="C33" s="21" t="n">
        <v>1228.271</v>
      </c>
      <c r="D33" s="21" t="n">
        <v>777.744</v>
      </c>
    </row>
    <row r="35">
      <c r="B35" s="16" t="inlineStr">
        <is>
          <t>FLUXO DE CAIXA (resumo)</t>
        </is>
      </c>
      <c r="C35" s="17" t="inlineStr">
        <is>
          <t>2025</t>
        </is>
      </c>
      <c r="D35" s="17" t="inlineStr">
        <is>
          <t>2024</t>
        </is>
      </c>
    </row>
    <row r="36">
      <c r="B36" s="18" t="inlineStr">
        <is>
          <t>Caixa das atividades operacionais (FCO)</t>
        </is>
      </c>
      <c r="C36" s="19" t="n">
        <v>-55.532</v>
      </c>
      <c r="D36" s="19" t="n">
        <v>365.567</v>
      </c>
      <c r="E36" s="25" t="inlineStr">
        <is>
          <t>2025 negativo</t>
        </is>
      </c>
    </row>
    <row r="37">
      <c r="B37" s="18" t="inlineStr">
        <is>
          <t>Capex (imobilizado + intangível)</t>
        </is>
      </c>
      <c r="C37" s="19" t="n">
        <v>-206.214</v>
      </c>
      <c r="D37" s="19" t="n">
        <v>-229.586</v>
      </c>
    </row>
    <row r="38">
      <c r="B38" s="18" t="inlineStr">
        <is>
          <t>Dividendos e JCP pagos</t>
        </is>
      </c>
      <c r="C38" s="19" t="n">
        <v>-427.199</v>
      </c>
      <c r="D38" s="19" t="n">
        <v>-190.355</v>
      </c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3" customWidth="1" min="3" max="3"/>
    <col width="40" customWidth="1" min="4" max="4"/>
  </cols>
  <sheetData>
    <row r="2" ht="26" customHeight="1">
      <c r="B2" s="27" t="inlineStr">
        <is>
          <t>Cálculo do WACC (custo médio ponderado de capital)</t>
        </is>
      </c>
    </row>
    <row r="4" ht="22" customHeight="1">
      <c r="B4" s="28" t="inlineStr">
        <is>
          <t>1. Custo do capital próprio (Ke) — CAPM local (BRL nominal)</t>
        </is>
      </c>
    </row>
    <row r="5">
      <c r="B5" s="29" t="inlineStr">
        <is>
          <t>Taxa livre de risco (Rf)</t>
        </is>
      </c>
      <c r="C5" s="30" t="n">
        <v>0.105</v>
      </c>
      <c r="D5" s="25" t="inlineStr">
        <is>
          <t>NTN-B 10a nominal (real ~9,5% + inflação)</t>
        </is>
      </c>
    </row>
    <row r="6">
      <c r="B6" s="29" t="inlineStr">
        <is>
          <t>Prêmio de risco de mercado (ERP)</t>
        </is>
      </c>
      <c r="C6" s="30" t="n">
        <v>0.07000000000000001</v>
      </c>
      <c r="D6" s="25" t="inlineStr">
        <is>
          <t>FGV/Ceqef: 8,19% (fev/26) — usado como teto</t>
        </is>
      </c>
    </row>
    <row r="7">
      <c r="B7" s="29" t="inlineStr">
        <is>
          <t>Beta desalavancado (βu)</t>
        </is>
      </c>
      <c r="C7" s="31" t="n">
        <v>0.6277798796202757</v>
      </c>
      <c r="D7" s="25" t="inlineStr">
        <is>
          <t>farma/consumo defensivo (Damodaran EM ajust.)</t>
        </is>
      </c>
    </row>
    <row r="8">
      <c r="B8" s="29" t="inlineStr">
        <is>
          <t>Alíquota de impostos (t)</t>
        </is>
      </c>
      <c r="C8" s="30" t="n">
        <v>0.25</v>
      </c>
      <c r="D8" s="25" t="inlineStr">
        <is>
          <t>normalizada; ef. ~0% via crédito presumido ICMS + JCP</t>
        </is>
      </c>
    </row>
    <row r="9">
      <c r="B9" s="18" t="inlineStr">
        <is>
          <t>Estrutura-alvo D/E</t>
        </is>
      </c>
      <c r="C9" s="32" t="n">
        <v>0.4925373134328358</v>
      </c>
      <c r="D9" s="25" t="inlineStr">
        <is>
          <t>da estrutura de capital abaixo</t>
        </is>
      </c>
    </row>
    <row r="10">
      <c r="B10" s="4" t="inlineStr">
        <is>
          <t>Beta realavancado (βL = βu·(1+(1-t)·D/E))</t>
        </is>
      </c>
      <c r="C10" s="33" t="n">
        <v>0.8596836411217954</v>
      </c>
    </row>
    <row r="11">
      <c r="B11" s="20" t="inlineStr">
        <is>
          <t>Custo do capital próprio (Ke = Rf + βL·ERP)</t>
        </is>
      </c>
      <c r="C11" s="6" t="n">
        <v>0.1651778548785257</v>
      </c>
    </row>
    <row r="13" ht="22" customHeight="1">
      <c r="B13" s="28" t="inlineStr">
        <is>
          <t>2. Custo da dívida (Kd)</t>
        </is>
      </c>
    </row>
    <row r="14">
      <c r="B14" s="29" t="inlineStr">
        <is>
          <t>Custo da dívida pré-impostos (Kd)</t>
        </is>
      </c>
      <c r="C14" s="30" t="n">
        <v>0.135</v>
      </c>
      <c r="D14" s="25" t="inlineStr">
        <is>
          <t>CDI + spread debêntures CIMED</t>
        </is>
      </c>
    </row>
    <row r="15">
      <c r="B15" s="4" t="inlineStr">
        <is>
          <t>Custo da dívida após impostos (Kd·(1-t))</t>
        </is>
      </c>
      <c r="C15" s="34" t="n">
        <v>0.10125</v>
      </c>
    </row>
    <row r="17" ht="22" customHeight="1">
      <c r="B17" s="28" t="inlineStr">
        <is>
          <t>3. Estrutura de capital (alvo, a valor de mercado)</t>
        </is>
      </c>
    </row>
    <row r="18">
      <c r="B18" s="29" t="inlineStr">
        <is>
          <t>Capital próprio / Valor (E/V)</t>
        </is>
      </c>
      <c r="C18" s="30" t="n">
        <v>0.67</v>
      </c>
      <c r="D18" s="25" t="inlineStr">
        <is>
          <t>≈ pós-IPO (desalavancagem)</t>
        </is>
      </c>
    </row>
    <row r="19">
      <c r="B19" s="29" t="inlineStr">
        <is>
          <t>Dívida / Valor (D/V)</t>
        </is>
      </c>
      <c r="C19" s="30" t="n">
        <v>0.33</v>
      </c>
    </row>
    <row r="21" ht="22" customHeight="1">
      <c r="B21" s="28" t="inlineStr">
        <is>
          <t>4. WACC</t>
        </is>
      </c>
    </row>
    <row r="22">
      <c r="B22" s="35" t="inlineStr">
        <is>
          <t>WACC = Ke·(E/V) + Kd·(1-t)·(D/V)</t>
        </is>
      </c>
      <c r="C22" s="36" t="n">
        <v>0.1440816627686122</v>
      </c>
    </row>
    <row r="24">
      <c r="B24" s="12" t="inlineStr">
        <is>
          <t>Notas: WACC em termos nominais (BRL), coerente com projeções nominais. Rf reflete a NTN-B longa; o juro real brasileiro está historicamente alto (NTN-B real ~9,5% em 2026), por isso usa-se nível normalizado de longo prazo. ERP da FGV/Ceqef (8,19%) entra como teto na sensibilidade. βu de ~0,63 reflete o caráter defensivo de saúde/consumo. Resultado: WACC ≈ 14,4%, dentro do intervalo de mercado para mid-caps brasileiras (13–16%).</t>
        </is>
      </c>
    </row>
    <row r="25"/>
    <row r="26"/>
    <row r="27"/>
  </sheetData>
  <mergeCells count="6">
    <mergeCell ref="B24:D27"/>
    <mergeCell ref="B4:D4"/>
    <mergeCell ref="B17:D17"/>
    <mergeCell ref="B13:D13"/>
    <mergeCell ref="B21:D21"/>
    <mergeCell ref="B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4" customWidth="1" min="3" max="3"/>
    <col width="40" customWidth="1" min="4" max="4"/>
  </cols>
  <sheetData>
    <row r="2" ht="26" customHeight="1">
      <c r="B2" s="27" t="inlineStr">
        <is>
          <t>Premissas, Dados-base e Avaliação por Múltiplos</t>
        </is>
      </c>
    </row>
    <row r="4" ht="22" customHeight="1">
      <c r="B4" s="28" t="inlineStr">
        <is>
          <t>1. Dados-base 2025A (consolidado, R$ milhões)</t>
        </is>
      </c>
    </row>
    <row r="5">
      <c r="B5" s="18" t="inlineStr">
        <is>
          <t>Receita líquida 2025</t>
        </is>
      </c>
      <c r="C5" s="19" t="n">
        <v>3067.594</v>
      </c>
      <c r="D5" s="25" t="inlineStr">
        <is>
          <t>DF Cimed &amp; Co 2025</t>
        </is>
      </c>
    </row>
    <row r="6">
      <c r="B6" s="18" t="inlineStr">
        <is>
          <t>EBIT 2025</t>
        </is>
      </c>
      <c r="C6" s="19" t="n">
        <v>358.827</v>
      </c>
    </row>
    <row r="7">
      <c r="B7" s="18" t="inlineStr">
        <is>
          <t>Depreciação &amp; amortização 2025</t>
        </is>
      </c>
      <c r="C7" s="19" t="n">
        <v>121.334</v>
      </c>
    </row>
    <row r="8">
      <c r="B8" s="4" t="inlineStr">
        <is>
          <t>EBITDA 2025</t>
        </is>
      </c>
      <c r="C8" s="22" t="n">
        <v>480.161</v>
      </c>
    </row>
    <row r="9">
      <c r="B9" s="18" t="inlineStr">
        <is>
          <t xml:space="preserve">  margem EBITDA 2025</t>
        </is>
      </c>
      <c r="C9" s="26" t="n">
        <v>0.1565269067549356</v>
      </c>
    </row>
    <row r="10">
      <c r="B10" s="18" t="inlineStr">
        <is>
          <t>Lucro líquido 2025</t>
        </is>
      </c>
      <c r="C10" s="19" t="n">
        <v>196.709</v>
      </c>
    </row>
    <row r="12" ht="22" customHeight="1">
      <c r="B12" s="28" t="inlineStr">
        <is>
          <t>2. Premissas gerais</t>
        </is>
      </c>
    </row>
    <row r="13">
      <c r="B13" s="29" t="inlineStr">
        <is>
          <t>Depreciação &amp; amortização (% receita)</t>
        </is>
      </c>
      <c r="C13" s="30" t="n">
        <v>0.04</v>
      </c>
      <c r="D13" s="25" t="inlineStr">
        <is>
          <t>~3,96% em 2025</t>
        </is>
      </c>
    </row>
    <row r="14">
      <c r="B14" s="29" t="inlineStr">
        <is>
          <t>Alíquota efetiva de impostos</t>
        </is>
      </c>
      <c r="C14" s="30" t="n">
        <v>0.25</v>
      </c>
      <c r="D14" s="25" t="inlineStr">
        <is>
          <t>ef. negativa em 2025; sobe c/ fim do ICMS (reforma tributária)</t>
        </is>
      </c>
    </row>
    <row r="15">
      <c r="B15" s="29" t="inlineStr">
        <is>
          <t>Crescimento na perpetuidade (g)</t>
        </is>
      </c>
      <c r="C15" s="30" t="n">
        <v>0.05</v>
      </c>
      <c r="D15" s="25" t="inlineStr">
        <is>
          <t>~inflação LP (4-4,5%) + real</t>
        </is>
      </c>
    </row>
    <row r="17" ht="22" customHeight="1">
      <c r="B17" s="28" t="inlineStr">
        <is>
          <t>3. Ponte para Equity — dívida líquida 2025</t>
        </is>
      </c>
    </row>
    <row r="18">
      <c r="B18" s="18" t="inlineStr">
        <is>
          <t>Empréstimos, financiamentos e debêntures</t>
        </is>
      </c>
      <c r="C18" s="19" t="n">
        <v>1633.539</v>
      </c>
      <c r="D18" s="25" t="inlineStr">
        <is>
          <t>circ.+não circ.</t>
        </is>
      </c>
    </row>
    <row r="19">
      <c r="B19" s="18" t="inlineStr">
        <is>
          <t>(+) Passivo de arrendamento (leasing)</t>
        </is>
      </c>
      <c r="C19" s="19" t="n">
        <v>157.884</v>
      </c>
    </row>
    <row r="20">
      <c r="B20" s="4">
        <f> Dívida bruta total</f>
        <v/>
      </c>
      <c r="C20" s="22" t="n">
        <v>1791.423</v>
      </c>
    </row>
    <row r="21">
      <c r="B21" s="18" t="inlineStr">
        <is>
          <t>(-) Caixa e equivalentes + TVM</t>
        </is>
      </c>
      <c r="C21" s="19" t="n">
        <v>438.377</v>
      </c>
    </row>
    <row r="22">
      <c r="B22" s="37">
        <f> Dívida líquida</f>
        <v/>
      </c>
      <c r="C22" s="38" t="n">
        <v>1353.046</v>
      </c>
      <c r="D22" s="25" t="inlineStr">
        <is>
          <t>ND/EBITDA = 2,8x ✓ (covenant)</t>
        </is>
      </c>
    </row>
    <row r="24" ht="22" customHeight="1">
      <c r="B24" s="28" t="inlineStr">
        <is>
          <t>4. Avaliação por múltiplos de comparáveis (mercado)</t>
        </is>
      </c>
    </row>
    <row r="25">
      <c r="B25" s="16" t="inlineStr">
        <is>
          <t>Comparável listada (B3)</t>
        </is>
      </c>
      <c r="C25" s="17" t="inlineStr">
        <is>
          <t>EV/EBITDA</t>
        </is>
      </c>
      <c r="D25" s="16" t="inlineStr">
        <is>
          <t>Referência</t>
        </is>
      </c>
    </row>
    <row r="26">
      <c r="B26" s="18" t="inlineStr">
        <is>
          <t>Hypera (HYPE3)</t>
        </is>
      </c>
      <c r="C26" s="39" t="n">
        <v>7.56</v>
      </c>
      <c r="D26" s="25" t="inlineStr">
        <is>
          <t>mar/26; EV R$22,7bi</t>
        </is>
      </c>
    </row>
    <row r="27">
      <c r="B27" s="18" t="inlineStr">
        <is>
          <t>Blau (BLAU3)</t>
        </is>
      </c>
      <c r="C27" s="39" t="n">
        <v>6.5</v>
      </c>
      <c r="D27" s="25" t="inlineStr">
        <is>
          <t>caixa líq.; alta margem</t>
        </is>
      </c>
    </row>
    <row r="28">
      <c r="B28" s="18" t="inlineStr">
        <is>
          <t>Prêmio cresc. / (-) desconto IPO &amp; alavancagem</t>
        </is>
      </c>
      <c r="C28" s="39" t="n"/>
      <c r="D28" s="25" t="inlineStr">
        <is>
          <t>líquido ≈ neutro</t>
        </is>
      </c>
    </row>
    <row r="29">
      <c r="B29" s="35" t="inlineStr">
        <is>
          <t>EV/EBITDA selecionado (forward, 2026E)</t>
        </is>
      </c>
      <c r="C29" s="40" t="n">
        <v>7</v>
      </c>
      <c r="D29" s="25" t="inlineStr">
        <is>
          <t>≈ setor; leve desconto vs. Hypera</t>
        </is>
      </c>
    </row>
    <row r="30">
      <c r="B30" s="23">
        <f> Enterprise Value (mercado)</f>
        <v/>
      </c>
      <c r="C30" s="24" t="n">
        <v>4088.489283200001</v>
      </c>
    </row>
    <row r="31">
      <c r="B31" s="18" t="inlineStr">
        <is>
          <t>(-) Dívida líquida</t>
        </is>
      </c>
      <c r="C31" s="19" t="n">
        <v>-1353.046</v>
      </c>
    </row>
    <row r="32">
      <c r="B32" s="23">
        <f> Equity Value (mercado)</f>
        <v/>
      </c>
      <c r="C32" s="24" t="n">
        <v>2735.4432832</v>
      </c>
    </row>
  </sheetData>
  <mergeCells count="5">
    <mergeCell ref="B4:D4"/>
    <mergeCell ref="B17:D17"/>
    <mergeCell ref="B12:D12"/>
    <mergeCell ref="B24:D24"/>
    <mergeCell ref="B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2" ht="26" customHeight="1">
      <c r="B2" s="27" t="inlineStr">
        <is>
          <t>Capital de Giro — Histórico e Projeção (R$ milhões)</t>
        </is>
      </c>
    </row>
    <row r="4">
      <c r="B4" s="16" t="inlineStr">
        <is>
          <t>Histórico (real)</t>
        </is>
      </c>
      <c r="C4" s="17" t="inlineStr">
        <is>
          <t>2024</t>
        </is>
      </c>
      <c r="D4" s="17" t="inlineStr">
        <is>
          <t>2025</t>
        </is>
      </c>
    </row>
    <row r="5">
      <c r="B5" s="18" t="inlineStr">
        <is>
          <t>Contas a receber</t>
        </is>
      </c>
      <c r="C5" s="19" t="n">
        <v>757.47</v>
      </c>
      <c r="D5" s="19" t="n">
        <v>1106.327</v>
      </c>
    </row>
    <row r="6">
      <c r="B6" s="18" t="inlineStr">
        <is>
          <t>(+) Estoques</t>
        </is>
      </c>
      <c r="C6" s="19" t="n">
        <v>507.999</v>
      </c>
      <c r="D6" s="19" t="n">
        <v>699.5069999999999</v>
      </c>
    </row>
    <row r="7">
      <c r="B7" s="18" t="inlineStr">
        <is>
          <t>(-) Fornecedores</t>
        </is>
      </c>
      <c r="C7" s="19" t="n">
        <v>-623.978</v>
      </c>
      <c r="D7" s="19" t="n">
        <v>-677.3920000000001</v>
      </c>
    </row>
    <row r="8">
      <c r="B8" s="20">
        <f> Capital de giro (líquido)</f>
        <v/>
      </c>
      <c r="C8" s="21" t="n">
        <v>641.4910000000001</v>
      </c>
      <c r="D8" s="21" t="n">
        <v>1128.442</v>
      </c>
    </row>
    <row r="9">
      <c r="B9" s="18" t="inlineStr">
        <is>
          <t xml:space="preserve">  % da receita líquida</t>
        </is>
      </c>
      <c r="C9" s="26" t="n">
        <v>0.2352466383828886</v>
      </c>
      <c r="D9" s="26" t="n">
        <v>0.3678589800345156</v>
      </c>
    </row>
    <row r="10">
      <c r="B10" s="18" t="inlineStr">
        <is>
          <t xml:space="preserve">  Prazo médio receb. (DSO)</t>
        </is>
      </c>
      <c r="C10" s="41" t="n">
        <v>101.3890747948118</v>
      </c>
      <c r="D10" s="41" t="n">
        <v>131.6371576551525</v>
      </c>
    </row>
    <row r="11">
      <c r="B11" s="18" t="inlineStr">
        <is>
          <t xml:space="preserve">  Prazo médio estoques (DIO)</t>
        </is>
      </c>
      <c r="C11" s="41" t="n">
        <v>132.1732462346376</v>
      </c>
      <c r="D11" s="41" t="n">
        <v>151.5715812251222</v>
      </c>
    </row>
    <row r="12">
      <c r="B12" s="18" t="inlineStr">
        <is>
          <t xml:space="preserve">  Prazo médio fornec. (DPO)</t>
        </is>
      </c>
      <c r="C12" s="41" t="n">
        <v>162.3491342286041</v>
      </c>
      <c r="D12" s="41" t="n">
        <v>146.7796270076611</v>
      </c>
    </row>
    <row r="13">
      <c r="B13" s="4" t="inlineStr">
        <is>
          <t xml:space="preserve">  Ciclo de conversão de caixa</t>
        </is>
      </c>
      <c r="C13" s="42" t="n">
        <v>71.21318680084528</v>
      </c>
      <c r="D13" s="42" t="n">
        <v>136.4291118726136</v>
      </c>
    </row>
    <row r="16">
      <c r="B16" s="16" t="inlineStr">
        <is>
          <t>Projeção</t>
        </is>
      </c>
      <c r="C16" s="17" t="inlineStr">
        <is>
          <t>2026E</t>
        </is>
      </c>
      <c r="D16" s="17" t="inlineStr">
        <is>
          <t>2027E</t>
        </is>
      </c>
      <c r="E16" s="17" t="inlineStr">
        <is>
          <t>2028E</t>
        </is>
      </c>
      <c r="F16" s="17" t="inlineStr">
        <is>
          <t>2029E</t>
        </is>
      </c>
      <c r="G16" s="17" t="inlineStr">
        <is>
          <t>2030E</t>
        </is>
      </c>
    </row>
    <row r="17">
      <c r="B17" s="18" t="inlineStr">
        <is>
          <t>Receita líquida</t>
        </is>
      </c>
      <c r="C17" s="43">
        <f>Projecoes!C7</f>
        <v>3435.70528</v>
        <v/>
      </c>
      <c r="D17" s="43">
        <f>Projecoes!D7</f>
        <v>3813.632861</v>
        <v/>
      </c>
      <c r="E17" s="43">
        <f>Projecoes!E7</f>
        <v>4194.996147</v>
        <v/>
      </c>
      <c r="F17" s="43">
        <f>Projecoes!F7</f>
        <v>4530.595839</v>
        <v/>
      </c>
      <c r="G17" s="43">
        <f>Projecoes!G7</f>
        <v>4825.084568</v>
        <v/>
      </c>
    </row>
    <row r="18">
      <c r="B18" s="44" t="inlineStr">
        <is>
          <t>Capital de giro (% da receita)</t>
        </is>
      </c>
      <c r="C18" s="30" t="n">
        <v>0.35</v>
      </c>
      <c r="D18" s="30" t="n">
        <v>0.34</v>
      </c>
      <c r="E18" s="30" t="n">
        <v>0.33</v>
      </c>
      <c r="F18" s="30" t="n">
        <v>0.325</v>
      </c>
      <c r="G18" s="30" t="n">
        <v>0.32</v>
      </c>
    </row>
    <row r="19">
      <c r="B19" s="20" t="inlineStr">
        <is>
          <t>Capital de giro (líquido)</t>
        </is>
      </c>
      <c r="C19" s="5">
        <f>C17*C18</f>
        <v>1202.496848</v>
        <v/>
      </c>
      <c r="D19" s="5">
        <f>D17*D18</f>
        <v>1296.635173</v>
        <v/>
      </c>
      <c r="E19" s="5">
        <f>E17*E18</f>
        <v>1384.348728</v>
        <v/>
      </c>
      <c r="F19" s="5">
        <f>F17*F18</f>
        <v>1472.443648</v>
        <v/>
      </c>
      <c r="G19" s="5">
        <f>G17*G18</f>
        <v>1544.027062</v>
        <v/>
      </c>
    </row>
    <row r="20">
      <c r="B20" s="23">
        <f> Variação do capital de giro (ΔWC)</f>
        <v/>
      </c>
      <c r="C20" s="8">
        <f>C19-D8</f>
        <v>74.054848</v>
        <v/>
      </c>
      <c r="D20" s="8">
        <f>D19-C19</f>
        <v>94.138325</v>
        <v/>
      </c>
      <c r="E20" s="8">
        <f>E19-D19</f>
        <v>87.713556</v>
        <v/>
      </c>
      <c r="F20" s="8">
        <f>F19-E19</f>
        <v>88.094919</v>
        <v/>
      </c>
      <c r="G20" s="8">
        <f>G19-F19</f>
        <v>71.583414</v>
        <v/>
      </c>
    </row>
    <row r="22">
      <c r="B22" s="15" t="inlineStr">
        <is>
          <t>Premissa: normalização gradual do ciclo de caixa (36,8% → 32% da receita), revertendo parte do estouro de 2025.</t>
        </is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6" customHeight="1">
      <c r="B2" s="27" t="inlineStr">
        <is>
          <t>Projeção de Fluxo de Caixa Livre Desalavancado (FCFF) — R$ milhões</t>
        </is>
      </c>
    </row>
    <row r="4">
      <c r="B4" s="16" t="inlineStr">
        <is>
          <t>Ano</t>
        </is>
      </c>
      <c r="C4" s="17" t="inlineStr">
        <is>
          <t>2026E</t>
        </is>
      </c>
      <c r="D4" s="17" t="inlineStr">
        <is>
          <t>2027E</t>
        </is>
      </c>
      <c r="E4" s="17" t="inlineStr">
        <is>
          <t>2028E</t>
        </is>
      </c>
      <c r="F4" s="17" t="inlineStr">
        <is>
          <t>2029E</t>
        </is>
      </c>
      <c r="G4" s="17" t="inlineStr">
        <is>
          <t>2030E</t>
        </is>
      </c>
    </row>
    <row r="6">
      <c r="B6" s="44" t="inlineStr">
        <is>
          <t>Crescimento da receita (%)</t>
        </is>
      </c>
      <c r="C6" s="30" t="n">
        <v>0.12</v>
      </c>
      <c r="D6" s="30" t="n">
        <v>0.11</v>
      </c>
      <c r="E6" s="30" t="n">
        <v>0.1</v>
      </c>
      <c r="F6" s="30" t="n">
        <v>0.08</v>
      </c>
      <c r="G6" s="30" t="n">
        <v>0.065</v>
      </c>
    </row>
    <row r="7">
      <c r="B7" s="4" t="inlineStr">
        <is>
          <t>Receita líquida</t>
        </is>
      </c>
      <c r="C7" s="45">
        <f>Premissas!$C$5*(1+C6)</f>
        <v>3435.70528</v>
        <v/>
      </c>
      <c r="D7" s="45">
        <f>C7*(1+D6)</f>
        <v>3813.632861</v>
        <v/>
      </c>
      <c r="E7" s="45">
        <f>D7*(1+E6)</f>
        <v>4194.996147</v>
        <v/>
      </c>
      <c r="F7" s="45">
        <f>E7*(1+F6)</f>
        <v>4530.595839</v>
        <v/>
      </c>
      <c r="G7" s="45">
        <f>F7*(1+G6)</f>
        <v>4825.084568</v>
        <v/>
      </c>
    </row>
    <row r="8">
      <c r="B8" s="44" t="inlineStr">
        <is>
          <t>Margem EBITDA (%)</t>
        </is>
      </c>
      <c r="C8" s="30" t="n">
        <v>0.17</v>
      </c>
      <c r="D8" s="30" t="n">
        <v>0.185</v>
      </c>
      <c r="E8" s="30" t="n">
        <v>0.195</v>
      </c>
      <c r="F8" s="30" t="n">
        <v>0.205</v>
      </c>
      <c r="G8" s="30" t="n">
        <v>0.21</v>
      </c>
    </row>
    <row r="9">
      <c r="B9" s="20" t="inlineStr">
        <is>
          <t>EBITDA</t>
        </is>
      </c>
      <c r="C9" s="5">
        <f>C7*C8</f>
        <v>584.069898</v>
        <v/>
      </c>
      <c r="D9" s="5">
        <f>D7*D8</f>
        <v>705.522079</v>
        <v/>
      </c>
      <c r="E9" s="5">
        <f>E7*E8</f>
        <v>818.024249</v>
        <v/>
      </c>
      <c r="F9" s="5">
        <f>F7*F8</f>
        <v>928.772147</v>
        <v/>
      </c>
      <c r="G9" s="5">
        <f>G7*G8</f>
        <v>1013.267759</v>
        <v/>
      </c>
    </row>
    <row r="10">
      <c r="B10" s="44" t="inlineStr">
        <is>
          <t>(-) Depreciação &amp; amortização</t>
        </is>
      </c>
      <c r="C10" s="19">
        <f>-C7*Premissas!$C$13</f>
        <v>-137.428211</v>
        <v/>
      </c>
      <c r="D10" s="19">
        <f>-D7*Premissas!$C$13</f>
        <v>-152.545314</v>
        <v/>
      </c>
      <c r="E10" s="19">
        <f>-E7*Premissas!$C$13</f>
        <v>-167.799846</v>
        <v/>
      </c>
      <c r="F10" s="19">
        <f>-F7*Premissas!$C$13</f>
        <v>-181.223834</v>
        <v/>
      </c>
      <c r="G10" s="19">
        <f>-G7*Premissas!$C$13</f>
        <v>-193.003383</v>
        <v/>
      </c>
    </row>
    <row r="11">
      <c r="B11" s="10">
        <f> EBIT</f>
        <v/>
      </c>
      <c r="C11" s="22">
        <f>C9+C10</f>
        <v>446.641686</v>
        <v/>
      </c>
      <c r="D11" s="22">
        <f>D9+D10</f>
        <v>552.976765</v>
        <v/>
      </c>
      <c r="E11" s="22">
        <f>E9+E10</f>
        <v>650.224403</v>
        <v/>
      </c>
      <c r="F11" s="22">
        <f>F9+F10</f>
        <v>747.548313</v>
        <v/>
      </c>
      <c r="G11" s="22">
        <f>G9+G10</f>
        <v>820.264377</v>
        <v/>
      </c>
    </row>
    <row r="12">
      <c r="B12" s="44" t="inlineStr">
        <is>
          <t>(-) Impostos sobre EBIT</t>
        </is>
      </c>
      <c r="C12" s="19">
        <f>-C11*Premissas!$C$14</f>
        <v>-111.660422</v>
        <v/>
      </c>
      <c r="D12" s="19">
        <f>-D11*Premissas!$C$14</f>
        <v>-138.244191</v>
        <v/>
      </c>
      <c r="E12" s="19">
        <f>-E11*Premissas!$C$14</f>
        <v>-162.556101</v>
        <v/>
      </c>
      <c r="F12" s="19">
        <f>-F11*Premissas!$C$14</f>
        <v>-186.887078</v>
        <v/>
      </c>
      <c r="G12" s="19">
        <f>-G11*Premissas!$C$14</f>
        <v>-205.066094</v>
        <v/>
      </c>
    </row>
    <row r="13">
      <c r="B13" s="10">
        <f> NOPAT</f>
        <v/>
      </c>
      <c r="C13" s="22">
        <f>C11+C12</f>
        <v>334.981265</v>
        <v/>
      </c>
      <c r="D13" s="22">
        <f>D11+D12</f>
        <v>414.732574</v>
        <v/>
      </c>
      <c r="E13" s="22">
        <f>E11+E12</f>
        <v>487.668302</v>
        <v/>
      </c>
      <c r="F13" s="22">
        <f>F11+F12</f>
        <v>560.661235</v>
        <v/>
      </c>
      <c r="G13" s="22">
        <f>G11+G12</f>
        <v>615.198282</v>
        <v/>
      </c>
    </row>
    <row r="14">
      <c r="B14" s="44" t="inlineStr">
        <is>
          <t>(+) Depreciação &amp; amortização</t>
        </is>
      </c>
      <c r="C14" s="19">
        <f>-C10</f>
        <v>137.428211</v>
        <v/>
      </c>
      <c r="D14" s="19">
        <f>-D10</f>
        <v>152.545314</v>
        <v/>
      </c>
      <c r="E14" s="19">
        <f>-E10</f>
        <v>167.799846</v>
        <v/>
      </c>
      <c r="F14" s="19">
        <f>-F10</f>
        <v>181.223834</v>
        <v/>
      </c>
      <c r="G14" s="19">
        <f>-G10</f>
        <v>193.003383</v>
        <v/>
      </c>
    </row>
    <row r="15">
      <c r="B15" s="44" t="inlineStr">
        <is>
          <t>Capex (% receita)</t>
        </is>
      </c>
      <c r="C15" s="30" t="n">
        <v>0.06</v>
      </c>
      <c r="D15" s="30" t="n">
        <v>0.055</v>
      </c>
      <c r="E15" s="30" t="n">
        <v>0.05</v>
      </c>
      <c r="F15" s="30" t="n">
        <v>0.047</v>
      </c>
      <c r="G15" s="30" t="n">
        <v>0.045</v>
      </c>
    </row>
    <row r="16">
      <c r="B16" s="44" t="inlineStr">
        <is>
          <t>(-) Capex</t>
        </is>
      </c>
      <c r="C16" s="19">
        <f>-C7*C15</f>
        <v>-206.142317</v>
        <v/>
      </c>
      <c r="D16" s="19">
        <f>-D7*D15</f>
        <v>-209.749807</v>
        <v/>
      </c>
      <c r="E16" s="19">
        <f>-E7*E15</f>
        <v>-209.749807</v>
        <v/>
      </c>
      <c r="F16" s="19">
        <f>-F7*F15</f>
        <v>-212.938004</v>
        <v/>
      </c>
      <c r="G16" s="19">
        <f>-G7*G15</f>
        <v>-217.128806</v>
        <v/>
      </c>
    </row>
    <row r="17">
      <c r="B17" s="44" t="inlineStr">
        <is>
          <t>(-) Variação de capital de giro</t>
        </is>
      </c>
      <c r="C17" s="19">
        <f>-Capital_de_Giro!C20</f>
        <v>-74.054848</v>
        <v/>
      </c>
      <c r="D17" s="19">
        <f>-Capital_de_Giro!D20</f>
        <v>-94.138325</v>
        <v/>
      </c>
      <c r="E17" s="19">
        <f>-Capital_de_Giro!E20</f>
        <v>-87.713556</v>
        <v/>
      </c>
      <c r="F17" s="19">
        <f>-Capital_de_Giro!F20</f>
        <v>-88.094919</v>
        <v/>
      </c>
      <c r="G17" s="19">
        <f>-Capital_de_Giro!G20</f>
        <v>-71.583414</v>
        <v/>
      </c>
    </row>
    <row r="18">
      <c r="B18" s="23">
        <f> Fluxo de Caixa Livre (FCFF)</f>
        <v/>
      </c>
      <c r="C18" s="8">
        <f>C13+C14+C16+C17</f>
        <v>192.212311</v>
        <v/>
      </c>
      <c r="D18" s="8">
        <f>D13+D14+D16+D17</f>
        <v>263.389756</v>
        <v/>
      </c>
      <c r="E18" s="8">
        <f>E13+E14+E16+E17</f>
        <v>358.004785</v>
        <v/>
      </c>
      <c r="F18" s="8">
        <f>F13+F14+F16+F17</f>
        <v>440.852145</v>
        <v/>
      </c>
      <c r="G18" s="8">
        <f>G13+G14+G16+G17</f>
        <v>519.489445</v>
        <v/>
      </c>
    </row>
  </sheetData>
  <mergeCells count="1"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6" customHeight="1">
      <c r="B2" s="27" t="inlineStr">
        <is>
          <t>Fluxo de Caixa Descontado — Conclusão (R$ milhões)</t>
        </is>
      </c>
    </row>
    <row r="4">
      <c r="B4" s="16" t="inlineStr">
        <is>
          <t>Ano</t>
        </is>
      </c>
      <c r="C4" s="17" t="inlineStr">
        <is>
          <t>2026E</t>
        </is>
      </c>
      <c r="D4" s="17" t="inlineStr">
        <is>
          <t>2027E</t>
        </is>
      </c>
      <c r="E4" s="17" t="inlineStr">
        <is>
          <t>2028E</t>
        </is>
      </c>
      <c r="F4" s="17" t="inlineStr">
        <is>
          <t>2029E</t>
        </is>
      </c>
      <c r="G4" s="17" t="inlineStr">
        <is>
          <t>2030E</t>
        </is>
      </c>
    </row>
    <row r="5">
      <c r="B5" s="44" t="inlineStr">
        <is>
          <t>Período de desconto (t)</t>
        </is>
      </c>
      <c r="C5" s="46" t="n">
        <v>1</v>
      </c>
      <c r="D5" s="46" t="n">
        <v>2</v>
      </c>
      <c r="E5" s="46" t="n">
        <v>3</v>
      </c>
      <c r="F5" s="46" t="n">
        <v>4</v>
      </c>
      <c r="G5" s="46" t="n">
        <v>5</v>
      </c>
    </row>
    <row r="6">
      <c r="B6" s="44" t="inlineStr">
        <is>
          <t>FCFF</t>
        </is>
      </c>
      <c r="C6" s="47">
        <f>Projecoes!C18</f>
        <v>192.212311</v>
        <v/>
      </c>
      <c r="D6" s="47">
        <f>Projecoes!D18</f>
        <v>263.389756</v>
        <v/>
      </c>
      <c r="E6" s="47">
        <f>Projecoes!E18</f>
        <v>358.004785</v>
        <v/>
      </c>
      <c r="F6" s="47">
        <f>Projecoes!F18</f>
        <v>440.852145</v>
        <v/>
      </c>
      <c r="G6" s="47">
        <f>Projecoes!G18</f>
        <v>519.489445</v>
        <v/>
      </c>
    </row>
    <row r="7">
      <c r="B7" s="44" t="inlineStr">
        <is>
          <t>Fator de desconto @ WACC</t>
        </is>
      </c>
      <c r="C7" s="48">
        <f>1/(1+WACC!$C$22)^C5</f>
        <v>0.874063</v>
        <v/>
      </c>
      <c r="D7" s="48">
        <f>1/(1+WACC!$C$22)^D5</f>
        <v>0.763987</v>
        <v/>
      </c>
      <c r="E7" s="48">
        <f>1/(1+WACC!$C$22)^E5</f>
        <v>0.667773</v>
        <v/>
      </c>
      <c r="F7" s="48">
        <f>1/(1+WACC!$C$22)^F5</f>
        <v>0.583676</v>
        <v/>
      </c>
      <c r="G7" s="48">
        <f>1/(1+WACC!$C$22)^G5</f>
        <v>0.51017</v>
        <v/>
      </c>
    </row>
    <row r="8">
      <c r="B8" s="23" t="inlineStr">
        <is>
          <t>FCFF a valor presente</t>
        </is>
      </c>
      <c r="C8" s="24">
        <f>C6*C7</f>
        <v>168.005762</v>
        <v/>
      </c>
      <c r="D8" s="24">
        <f>D6*D7</f>
        <v>201.226341</v>
        <v/>
      </c>
      <c r="E8" s="24">
        <f>E6*E7</f>
        <v>239.065968</v>
        <v/>
      </c>
      <c r="F8" s="24">
        <f>F6*F7</f>
        <v>257.314855</v>
        <v/>
      </c>
      <c r="G8" s="24">
        <f>G6*G7</f>
        <v>265.027905</v>
        <v/>
      </c>
    </row>
    <row r="11">
      <c r="B11" s="4" t="inlineStr">
        <is>
          <t>Soma do VP dos FCFF (2026–2030)</t>
        </is>
      </c>
      <c r="C11" s="22">
        <f>SUM(C8:G8)</f>
        <v>1130.640831</v>
        <v/>
      </c>
    </row>
    <row r="13">
      <c r="B13" s="18" t="inlineStr">
        <is>
          <t>FCFF normalizado (terminal × (1+g))</t>
        </is>
      </c>
      <c r="C13" s="19">
        <f>G6*(1+Premissas!C15)</f>
        <v>545.463918</v>
        <v/>
      </c>
    </row>
    <row r="14">
      <c r="B14" s="4" t="inlineStr">
        <is>
          <t>Valor Terminal (Gordon) = FCFFn/(WACC−g)</t>
        </is>
      </c>
      <c r="C14" s="49">
        <f>C13/(WACC!C22-Premissas!C15)</f>
        <v>5797.770804</v>
        <v/>
      </c>
    </row>
    <row r="15">
      <c r="B15" s="18" t="inlineStr">
        <is>
          <t>Fator de desconto do ano terminal</t>
        </is>
      </c>
      <c r="C15" s="48">
        <f>G7</f>
        <v>0.51017</v>
        <v/>
      </c>
    </row>
    <row r="16">
      <c r="B16" s="23" t="inlineStr">
        <is>
          <t>Valor Terminal a valor presente</t>
        </is>
      </c>
      <c r="C16" s="24">
        <f>C14*C15</f>
        <v>2957.848452</v>
        <v/>
      </c>
    </row>
    <row r="18">
      <c r="B18" s="18" t="inlineStr">
        <is>
          <t>VP dos fluxos explícitos</t>
        </is>
      </c>
      <c r="C18" s="19">
        <f>C11</f>
        <v>1130.640831</v>
        <v/>
      </c>
    </row>
    <row r="19">
      <c r="B19" s="20" t="inlineStr">
        <is>
          <t>ENTERPRISE VALUE (EV)</t>
        </is>
      </c>
      <c r="C19" s="5">
        <f>C18+C16</f>
        <v>4088.489283</v>
        <v/>
      </c>
    </row>
    <row r="20">
      <c r="B20" s="18" t="inlineStr">
        <is>
          <t>% do EV no Valor Terminal</t>
        </is>
      </c>
      <c r="C20" s="26">
        <f>C16/C19</f>
        <v>0.723458</v>
        <v/>
      </c>
    </row>
    <row r="22">
      <c r="B22" s="18" t="inlineStr">
        <is>
          <t>(-) Dívida líquida (2025)</t>
        </is>
      </c>
      <c r="C22" s="19">
        <f>-Premissas!C22</f>
        <v>-1353.046</v>
        <v/>
      </c>
    </row>
    <row r="23">
      <c r="B23" s="23" t="inlineStr">
        <is>
          <t>EQUITY VALUE (DCF)</t>
        </is>
      </c>
      <c r="C23" s="8">
        <f>C19+C22</f>
        <v>2735.443283</v>
        <v/>
      </c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2026-06-17T22:17:59Z</dcterms:created>
  <dcterms:modified xsi:type="dcterms:W3CDTF">2026-06-17T22:17:59Z</dcterms:modified>
</cp:coreProperties>
</file>