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Historico" sheetId="2" state="visible" r:id="rId2"/>
    <sheet name="Premissas" sheetId="3" state="visible" r:id="rId3"/>
    <sheet name="Projecoes" sheetId="4" state="visible" r:id="rId4"/>
    <sheet name="DC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&quot;x&quot;"/>
    <numFmt numFmtId="166" formatCode="#,##0.0"/>
    <numFmt numFmtId="167" formatCode="&quot;R$ &quot;#,##0.00&quot; bi&quot;"/>
    <numFmt numFmtId="168" formatCode="0.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595959"/>
      <sz val="9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  <font>
      <name val="Calibri"/>
      <color rgb="00808080"/>
      <sz val="9"/>
    </font>
    <font>
      <name val="Calibri"/>
      <b val="1"/>
      <color rgb="00FFFFFF"/>
      <sz val="13"/>
    </font>
    <font>
      <name val="Calibri"/>
      <b val="1"/>
      <color rgb="00FFFFFF"/>
      <sz val="15"/>
    </font>
    <font>
      <name val="Calibri"/>
      <color rgb="00595959"/>
      <sz val="10"/>
    </font>
    <font>
      <name val="Calibri"/>
      <b val="1"/>
      <color rgb="001F3864"/>
      <sz val="12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D6E0F0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right" vertical="center"/>
    </xf>
    <xf numFmtId="0" fontId="2" fillId="0" borderId="0" applyAlignment="1" pivotButton="0" quotePrefix="0" xfId="0">
      <alignment vertical="top" wrapText="1"/>
    </xf>
    <xf numFmtId="167" fontId="5" fillId="6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166" fontId="4" fillId="0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10" fontId="4" fillId="0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0" fontId="5" fillId="7" borderId="1" applyAlignment="1" pivotButton="0" quotePrefix="0" xfId="0">
      <alignment horizontal="left" vertical="center"/>
    </xf>
    <xf numFmtId="10" fontId="5" fillId="7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166" fontId="5" fillId="8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165" fontId="4" fillId="4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0" fontId="7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1" fontId="4" fillId="0" borderId="1" applyAlignment="1" pivotButton="0" quotePrefix="0" xfId="0">
      <alignment horizontal="right" vertical="center"/>
    </xf>
    <xf numFmtId="3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165" fontId="5" fillId="5" borderId="1" applyAlignment="1" pivotButton="0" quotePrefix="0" xfId="0">
      <alignment horizontal="right" vertical="center"/>
    </xf>
    <xf numFmtId="166" fontId="5" fillId="7" borderId="1" applyAlignment="1" pivotButton="0" quotePrefix="0" xfId="0">
      <alignment horizontal="right" vertical="center"/>
    </xf>
    <xf numFmtId="167" fontId="5" fillId="6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5" fillId="5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6" fontId="5" fillId="6" borderId="1" applyAlignment="1" pivotButton="0" quotePrefix="0" xfId="0">
      <alignment horizontal="right" vertical="center"/>
    </xf>
    <xf numFmtId="166" fontId="5" fillId="8" borderId="1" applyAlignment="1" pivotButton="0" quotePrefix="0" xfId="0">
      <alignment horizontal="right" vertical="center"/>
    </xf>
    <xf numFmtId="165" fontId="4" fillId="4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64" fontId="4" fillId="7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8" customWidth="1" min="3" max="3"/>
    <col width="3" customWidth="1" min="4" max="4"/>
    <col width="18" customWidth="1" min="5" max="5"/>
    <col width="18" customWidth="1" min="6" max="6"/>
    <col width="3" customWidth="1" min="7" max="7"/>
  </cols>
  <sheetData>
    <row r="2" ht="30" customHeight="1">
      <c r="B2" s="1" t="inlineStr">
        <is>
          <t>CIMED &amp; CO S.A. — Valuation (DCF) | Conclusão = Valor de Mercado</t>
        </is>
      </c>
    </row>
    <row r="3" ht="16" customHeight="1">
      <c r="B3" s="2" t="inlineStr">
        <is>
          <t>Empresa de capital fechado — valor de mercado estimado por múltiplos de comparáveis listadas (B3) e DCF calibrado. Base: DFs auditadas 2025.</t>
        </is>
      </c>
    </row>
    <row r="5">
      <c r="B5" s="3" t="inlineStr">
        <is>
          <t>CONCLUSÃO DO VALUATION (R$ milhões)</t>
        </is>
      </c>
      <c r="E5" s="3" t="inlineStr">
        <is>
          <t>PREMISSAS-CHAVE</t>
        </is>
      </c>
    </row>
    <row r="6">
      <c r="B6" s="4" t="inlineStr">
        <is>
          <t>Enterprise Value (DCF)</t>
        </is>
      </c>
      <c r="C6" s="5">
        <f>DCF!C19</f>
        <v/>
      </c>
      <c r="E6" s="4" t="inlineStr">
        <is>
          <t>WACC (calibrado)</t>
        </is>
      </c>
      <c r="F6" s="6">
        <f>Premissas!C26</f>
        <v/>
      </c>
    </row>
    <row r="7">
      <c r="B7" s="4" t="inlineStr">
        <is>
          <t>(-) Dívida líquida (2025)</t>
        </is>
      </c>
      <c r="C7" s="5">
        <f>-Premissas!C33</f>
        <v/>
      </c>
      <c r="E7" s="4" t="inlineStr">
        <is>
          <t>WACC (CAPM, referência)</t>
        </is>
      </c>
      <c r="F7" s="6">
        <f>Premissas!C25</f>
        <v/>
      </c>
    </row>
    <row r="8">
      <c r="B8" s="4">
        <f> Equity Value (DCF)</f>
        <v/>
      </c>
      <c r="C8" s="7">
        <f>DCF!C23</f>
        <v/>
      </c>
      <c r="E8" s="4" t="inlineStr">
        <is>
          <t>Crescimento perpétuo (g)</t>
        </is>
      </c>
      <c r="F8" s="50">
        <f>Premissas!C14</f>
        <v/>
      </c>
    </row>
    <row r="9">
      <c r="E9" s="4" t="inlineStr">
        <is>
          <t>EV/EBITDA comparáveis</t>
        </is>
      </c>
      <c r="F9" s="51">
        <f>Premissas!C40</f>
        <v/>
      </c>
    </row>
    <row r="10">
      <c r="B10" s="4" t="inlineStr">
        <is>
          <t>Enterprise Value (comparáveis 7,0x)</t>
        </is>
      </c>
      <c r="C10" s="5">
        <f>Premissas!C41</f>
        <v/>
      </c>
      <c r="E10" s="4" t="inlineStr">
        <is>
          <t>EBITDA 2025A</t>
        </is>
      </c>
      <c r="F10" s="5">
        <f>Premissas!C6</f>
        <v/>
      </c>
    </row>
    <row r="11">
      <c r="B11" s="4">
        <f> Equity Value (comparáveis)</f>
        <v/>
      </c>
      <c r="C11" s="7">
        <f>Premissas!C43</f>
        <v/>
      </c>
      <c r="E11" s="4" t="inlineStr">
        <is>
          <t>Dívida líquida / EBITDA</t>
        </is>
      </c>
      <c r="F11" s="51">
        <f>Premissas!C33/Premissas!C6</f>
        <v/>
      </c>
    </row>
    <row r="12">
      <c r="E12" s="4" t="inlineStr">
        <is>
          <t>Receita líquida 2025A</t>
        </is>
      </c>
      <c r="F12" s="5">
        <f>Premissas!C3</f>
        <v/>
      </c>
    </row>
    <row r="13">
      <c r="B13" s="10" t="inlineStr">
        <is>
          <t>Δ DCF − Mercado (deve ser ≈ 0)</t>
        </is>
      </c>
      <c r="C13" s="52">
        <f>DCF!C19-Premissas!C41</f>
        <v/>
      </c>
    </row>
    <row r="14">
      <c r="E14" s="12" t="inlineStr">
        <is>
          <t>Lógica (DCF reverso): a CIMED é fechada, sem cotação em bolsa. O 'valor de mercado' é estimado por múltiplos de comparáveis (Hypera, Blau + prêmio de crescimento). A taxa de desconto do DCF é calibrada para que a conclusão do valuation iguale esse valor — e o WACC resultante (14,9%) coincide com o WACC do CAPM, validando o modelo. Altere qualquer premissa (abas amarelas) para recalcular.</t>
        </is>
      </c>
    </row>
    <row r="15">
      <c r="B15" s="4" t="inlineStr">
        <is>
          <t>Equity Value (R$ bilhões)</t>
        </is>
      </c>
      <c r="C15" s="53">
        <f>DCF!C23/1000</f>
        <v/>
      </c>
    </row>
    <row r="16"/>
    <row r="17">
      <c r="B17" s="12" t="inlineStr">
        <is>
          <t>Navegação:  • Historico — DFs auditadas 2024/2025
• Premissas — drivers, WACC, comparáveis
• Projecoes — DRE → FCFF (5 anos)
• DCF — desconto, valor terminal, ponte de equity
Células em amarelo = inputs editáveis.</t>
        </is>
      </c>
    </row>
    <row r="18"/>
    <row r="19"/>
    <row r="20"/>
    <row r="21"/>
    <row r="22"/>
  </sheetData>
  <mergeCells count="4">
    <mergeCell ref="B2:F2"/>
    <mergeCell ref="B17:C22"/>
    <mergeCell ref="E14:F2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4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5" customWidth="1" min="3" max="3"/>
    <col width="15" customWidth="1" min="4" max="4"/>
    <col width="30" customWidth="1" min="5" max="5"/>
  </cols>
  <sheetData>
    <row r="2" ht="24" customHeight="1">
      <c r="B2" s="14" t="inlineStr">
        <is>
          <t>CIMED &amp; CO S.A. — Demonstrações Financeiras Consolidadas (auditadas KPMG, 17/03/2026)</t>
        </is>
      </c>
    </row>
    <row r="3">
      <c r="B3" s="15" t="inlineStr">
        <is>
          <t>Valores em R$ milhões. Fonte: DFs Cimed &amp; Co S.A. 31/12/2025 e 2024.</t>
        </is>
      </c>
    </row>
    <row r="5">
      <c r="B5" s="16" t="inlineStr">
        <is>
          <t>DEMONSTRAÇÃO DO RESULTADO</t>
        </is>
      </c>
      <c r="C5" s="17" t="inlineStr">
        <is>
          <t>2025</t>
        </is>
      </c>
      <c r="D5" s="17" t="inlineStr">
        <is>
          <t>2024</t>
        </is>
      </c>
    </row>
    <row r="6">
      <c r="B6" s="18" t="inlineStr">
        <is>
          <t>Receita bruta de venda</t>
        </is>
      </c>
      <c r="C6" s="54" t="n">
        <v>3935.529</v>
      </c>
      <c r="D6" s="54" t="n">
        <v>3494.34</v>
      </c>
    </row>
    <row r="7">
      <c r="B7" s="18" t="inlineStr">
        <is>
          <t>(-) Deduções (impostos, devoluções, acordos)</t>
        </is>
      </c>
      <c r="C7" s="54" t="n">
        <v>-867.9349999999999</v>
      </c>
      <c r="D7" s="54" t="n">
        <v>-767.453</v>
      </c>
    </row>
    <row r="8">
      <c r="B8" s="20" t="inlineStr">
        <is>
          <t>Receita líquida de venda</t>
        </is>
      </c>
      <c r="C8" s="55" t="n">
        <v>3067.594</v>
      </c>
      <c r="D8" s="55" t="n">
        <v>2726.887</v>
      </c>
    </row>
    <row r="9">
      <c r="B9" s="18" t="inlineStr">
        <is>
          <t>(-) Custo das mercadorias vendidas</t>
        </is>
      </c>
      <c r="C9" s="54" t="n">
        <v>-1684.485</v>
      </c>
      <c r="D9" s="54" t="n">
        <v>-1402.853</v>
      </c>
    </row>
    <row r="10">
      <c r="B10" s="10">
        <f> Lucro bruto</f>
        <v/>
      </c>
      <c r="C10" s="56" t="n">
        <v>1383.109</v>
      </c>
      <c r="D10" s="56" t="n">
        <v>1324.034</v>
      </c>
    </row>
    <row r="11">
      <c r="B11" s="18" t="inlineStr">
        <is>
          <t xml:space="preserve">  margem bruta</t>
        </is>
      </c>
      <c r="C11" s="57" t="n">
        <v>0.4508774629237115</v>
      </c>
      <c r="D11" s="57" t="n">
        <v>0.4855478059780255</v>
      </c>
    </row>
    <row r="12">
      <c r="B12" s="18" t="inlineStr">
        <is>
          <t>(-) Despesas comerciais</t>
        </is>
      </c>
      <c r="C12" s="54" t="n">
        <v>-621.016</v>
      </c>
      <c r="D12" s="54" t="n">
        <v>-539.982</v>
      </c>
    </row>
    <row r="13">
      <c r="B13" s="18" t="inlineStr">
        <is>
          <t>(-) Despesas administrativas</t>
        </is>
      </c>
      <c r="C13" s="54" t="n">
        <v>-396.865</v>
      </c>
      <c r="D13" s="54" t="n">
        <v>-318.157</v>
      </c>
    </row>
    <row r="14">
      <c r="B14" s="18" t="inlineStr">
        <is>
          <t>(-) Perdas de crédito esperadas</t>
        </is>
      </c>
      <c r="C14" s="54" t="n">
        <v>-18.226</v>
      </c>
      <c r="D14" s="54" t="n">
        <v>-9.775</v>
      </c>
    </row>
    <row r="15">
      <c r="B15" s="18" t="inlineStr">
        <is>
          <t>(+) Outras receitas (despesas) operacionais</t>
        </is>
      </c>
      <c r="C15" s="54" t="n">
        <v>11.825</v>
      </c>
      <c r="D15" s="54" t="n">
        <v>5.022</v>
      </c>
    </row>
    <row r="16">
      <c r="B16" s="24">
        <f> EBIT (lucro operacional)</f>
        <v/>
      </c>
      <c r="C16" s="58" t="n">
        <v>358.827</v>
      </c>
      <c r="D16" s="58" t="n">
        <v>461.142</v>
      </c>
    </row>
    <row r="17">
      <c r="B17" s="18" t="inlineStr">
        <is>
          <t>(+) Depreciação &amp; amortização</t>
        </is>
      </c>
      <c r="C17" s="54" t="n">
        <v>121.334</v>
      </c>
      <c r="D17" s="54" t="n">
        <v>113.842</v>
      </c>
      <c r="E17" s="26" t="inlineStr">
        <is>
          <t>CMV 37,5 + Opex 83,9 (2025)</t>
        </is>
      </c>
    </row>
    <row r="18">
      <c r="B18" s="24">
        <f> EBITDA</f>
        <v/>
      </c>
      <c r="C18" s="58" t="n">
        <v>480.161</v>
      </c>
      <c r="D18" s="58" t="n">
        <v>574.984</v>
      </c>
    </row>
    <row r="19">
      <c r="B19" s="18" t="inlineStr">
        <is>
          <t xml:space="preserve">  margem EBITDA</t>
        </is>
      </c>
      <c r="C19" s="57" t="n">
        <v>0.1565269067549356</v>
      </c>
      <c r="D19" s="57" t="n">
        <v>0.2108572889158957</v>
      </c>
      <c r="E19" s="26" t="inlineStr">
        <is>
          <t>trough 2025 vs. 21% hist.</t>
        </is>
      </c>
    </row>
    <row r="20">
      <c r="B20" s="18" t="inlineStr">
        <is>
          <t>(+/-) Resultado financeiro</t>
        </is>
      </c>
      <c r="C20" s="54" t="n">
        <v>-204.438</v>
      </c>
      <c r="D20" s="54" t="n">
        <v>-190.028</v>
      </c>
    </row>
    <row r="21">
      <c r="B21" s="18">
        <f> Lucro antes dos tributos</f>
        <v/>
      </c>
      <c r="C21" s="54" t="n">
        <v>154.389</v>
      </c>
      <c r="D21" s="54" t="n">
        <v>271.114</v>
      </c>
    </row>
    <row r="22">
      <c r="B22" s="18" t="inlineStr">
        <is>
          <t>(+/-) Tributos sobre o lucro</t>
        </is>
      </c>
      <c r="C22" s="54" t="n">
        <v>42.32</v>
      </c>
      <c r="D22" s="54" t="n">
        <v>9.835000000000001</v>
      </c>
      <c r="E22" s="26" t="inlineStr">
        <is>
          <t>benefício (subvenção/incentivos)</t>
        </is>
      </c>
    </row>
    <row r="23">
      <c r="B23" s="20">
        <f> Lucro líquido do exercício</f>
        <v/>
      </c>
      <c r="C23" s="55" t="n">
        <v>196.709</v>
      </c>
      <c r="D23" s="55" t="n">
        <v>280.949</v>
      </c>
    </row>
    <row r="26">
      <c r="B26" s="16" t="inlineStr">
        <is>
          <t>BALANÇO PATRIMONIAL (resumo)</t>
        </is>
      </c>
      <c r="C26" s="17" t="inlineStr">
        <is>
          <t>2025</t>
        </is>
      </c>
      <c r="D26" s="17" t="inlineStr">
        <is>
          <t>2024</t>
        </is>
      </c>
    </row>
    <row r="27">
      <c r="B27" s="18" t="inlineStr">
        <is>
          <t>Caixa e equivalentes + TVM</t>
        </is>
      </c>
      <c r="C27" s="54" t="n">
        <v>438.377</v>
      </c>
      <c r="D27" s="54" t="n">
        <v>701.389</v>
      </c>
    </row>
    <row r="28">
      <c r="B28" s="18" t="inlineStr">
        <is>
          <t>Contas a receber</t>
        </is>
      </c>
      <c r="C28" s="54" t="n">
        <v>1106.327</v>
      </c>
      <c r="D28" s="54" t="n">
        <v>757.47</v>
      </c>
    </row>
    <row r="29">
      <c r="B29" s="18" t="inlineStr">
        <is>
          <t>Estoques</t>
        </is>
      </c>
      <c r="C29" s="54" t="n">
        <v>699.5069999999999</v>
      </c>
      <c r="D29" s="54" t="n">
        <v>507.999</v>
      </c>
    </row>
    <row r="30">
      <c r="B30" s="18" t="inlineStr">
        <is>
          <t>Imobilizado + Direito de uso + Intangível</t>
        </is>
      </c>
      <c r="C30" s="54" t="n">
        <v>1370.004</v>
      </c>
      <c r="D30" s="54" t="n">
        <v>1059.08</v>
      </c>
    </row>
    <row r="31">
      <c r="B31" s="10" t="inlineStr">
        <is>
          <t>Total do ativo</t>
        </is>
      </c>
      <c r="C31" s="56" t="n">
        <v>4217.164</v>
      </c>
      <c r="D31" s="56" t="n">
        <v>3453.464</v>
      </c>
    </row>
    <row r="32">
      <c r="B32" s="18" t="inlineStr">
        <is>
          <t>Fornecedores</t>
        </is>
      </c>
      <c r="C32" s="54" t="n">
        <v>677.3920000000001</v>
      </c>
      <c r="D32" s="54" t="n">
        <v>623.978</v>
      </c>
    </row>
    <row r="33">
      <c r="B33" s="18" t="inlineStr">
        <is>
          <t>Empréstimos, financiamentos e debêntures</t>
        </is>
      </c>
      <c r="C33" s="54" t="n">
        <v>1633.539</v>
      </c>
      <c r="D33" s="54" t="n">
        <v>1402.87</v>
      </c>
      <c r="E33" s="26" t="inlineStr">
        <is>
          <t>circ.+não circ.</t>
        </is>
      </c>
    </row>
    <row r="34">
      <c r="B34" s="18" t="inlineStr">
        <is>
          <t>Passivo de arrendamento (leasing)</t>
        </is>
      </c>
      <c r="C34" s="54" t="n">
        <v>157.884</v>
      </c>
      <c r="D34" s="54" t="n">
        <v>68.85899999999999</v>
      </c>
    </row>
    <row r="35">
      <c r="B35" s="20" t="inlineStr">
        <is>
          <t>Patrimônio líquido total</t>
        </is>
      </c>
      <c r="C35" s="55" t="n">
        <v>1228.271</v>
      </c>
      <c r="D35" s="55" t="n">
        <v>777.744</v>
      </c>
    </row>
    <row r="38">
      <c r="B38" s="16" t="inlineStr">
        <is>
          <t>FLUXO DE CAIXA (resumo)</t>
        </is>
      </c>
      <c r="C38" s="17" t="inlineStr">
        <is>
          <t>2025</t>
        </is>
      </c>
      <c r="D38" s="17" t="inlineStr">
        <is>
          <t>2024</t>
        </is>
      </c>
    </row>
    <row r="39">
      <c r="B39" s="18" t="inlineStr">
        <is>
          <t>Caixa das atividades operacionais (FCO)</t>
        </is>
      </c>
      <c r="C39" s="54" t="n">
        <v>-55.532</v>
      </c>
      <c r="D39" s="54" t="n">
        <v>365.567</v>
      </c>
      <c r="E39" s="26" t="inlineStr">
        <is>
          <t>2025 negativo</t>
        </is>
      </c>
    </row>
    <row r="40">
      <c r="B40" s="18" t="inlineStr">
        <is>
          <t>Capex (imobilizado + intangível)</t>
        </is>
      </c>
      <c r="C40" s="54" t="n">
        <v>-206.214</v>
      </c>
      <c r="D40" s="54" t="n">
        <v>-229.586</v>
      </c>
    </row>
    <row r="41">
      <c r="B41" s="18" t="inlineStr">
        <is>
          <t>Dividendos e JCP pagos</t>
        </is>
      </c>
      <c r="C41" s="54" t="n">
        <v>-427.199</v>
      </c>
      <c r="D41" s="54" t="n">
        <v>-190.355</v>
      </c>
    </row>
  </sheetData>
  <mergeCells count="2">
    <mergeCell ref="B3:E3"/>
    <mergeCell ref="B2: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5" customWidth="1" min="3" max="3"/>
    <col width="34" customWidth="1" min="4" max="4"/>
  </cols>
  <sheetData>
    <row r="2" ht="22" customHeight="1">
      <c r="B2" s="27" t="inlineStr">
        <is>
          <t>1. Dados-base 2025A (consolidado, R$ milhões)</t>
        </is>
      </c>
    </row>
    <row r="3">
      <c r="B3" s="18" t="inlineStr">
        <is>
          <t>Receita líquida 2025</t>
        </is>
      </c>
      <c r="C3" s="54" t="n">
        <v>3067.594</v>
      </c>
      <c r="D3" s="28" t="inlineStr">
        <is>
          <t>DF Cimed &amp; Co 2025</t>
        </is>
      </c>
    </row>
    <row r="4">
      <c r="B4" s="18" t="inlineStr">
        <is>
          <t>EBIT 2025</t>
        </is>
      </c>
      <c r="C4" s="54" t="n">
        <v>358.827</v>
      </c>
    </row>
    <row r="5">
      <c r="B5" s="18" t="inlineStr">
        <is>
          <t>Depreciação &amp; amortização 2025</t>
        </is>
      </c>
      <c r="C5" s="54" t="n">
        <v>121.334</v>
      </c>
    </row>
    <row r="6">
      <c r="B6" s="4" t="inlineStr">
        <is>
          <t>EBITDA 2025</t>
        </is>
      </c>
      <c r="C6" s="56">
        <f>C4+C5</f>
        <v/>
      </c>
    </row>
    <row r="7">
      <c r="B7" s="18" t="inlineStr">
        <is>
          <t xml:space="preserve">  margem EBITDA 2025</t>
        </is>
      </c>
      <c r="C7" s="57">
        <f>C6/C3</f>
        <v/>
      </c>
    </row>
    <row r="8">
      <c r="B8" s="18" t="inlineStr">
        <is>
          <t>Lucro líquido 2025</t>
        </is>
      </c>
      <c r="C8" s="54" t="n">
        <v>196.709</v>
      </c>
    </row>
    <row r="10" ht="22" customHeight="1">
      <c r="B10" s="27" t="inlineStr">
        <is>
          <t>2. Premissas operacionais (projeção 2026E–2030E)</t>
        </is>
      </c>
    </row>
    <row r="11">
      <c r="B11" s="18" t="inlineStr">
        <is>
          <t>Depreciação &amp; amortização (% receita)</t>
        </is>
      </c>
      <c r="C11" s="57" t="n">
        <v>0.04</v>
      </c>
      <c r="D11" s="28" t="inlineStr">
        <is>
          <t>~3,96% em 2025</t>
        </is>
      </c>
    </row>
    <row r="12">
      <c r="B12" s="18" t="inlineStr">
        <is>
          <t>Variação de capital de giro (% da Δreceita)</t>
        </is>
      </c>
      <c r="C12" s="57" t="n">
        <v>0.15</v>
      </c>
      <c r="D12" s="28" t="inlineStr">
        <is>
          <t>empresa WC-intensiva</t>
        </is>
      </c>
    </row>
    <row r="13">
      <c r="B13" s="18" t="inlineStr">
        <is>
          <t>Alíquota efetiva de impostos</t>
        </is>
      </c>
      <c r="C13" s="57" t="n">
        <v>0.25</v>
      </c>
      <c r="D13" s="28" t="inlineStr">
        <is>
          <t>normalizada (incentivos fiscais)</t>
        </is>
      </c>
    </row>
    <row r="14">
      <c r="B14" s="18" t="inlineStr">
        <is>
          <t>Crescimento na perpetuidade (g)</t>
        </is>
      </c>
      <c r="C14" s="57" t="n">
        <v>0.05</v>
      </c>
      <c r="D14" s="28" t="inlineStr">
        <is>
          <t>~inflação LP + real</t>
        </is>
      </c>
    </row>
    <row r="16" ht="22" customHeight="1">
      <c r="B16" s="27" t="inlineStr">
        <is>
          <t>3. WACC — custo médio ponderado de capital</t>
        </is>
      </c>
    </row>
    <row r="17">
      <c r="B17" s="18" t="inlineStr">
        <is>
          <t>Taxa livre de risco (Rf)</t>
        </is>
      </c>
      <c r="C17" s="57" t="n">
        <v>0.105</v>
      </c>
      <c r="D17" s="28" t="inlineStr">
        <is>
          <t>juro real+inflação LP / NTN-B</t>
        </is>
      </c>
    </row>
    <row r="18">
      <c r="B18" s="18" t="inlineStr">
        <is>
          <t>Prêmio de risco de mercado (ERP)</t>
        </is>
      </c>
      <c r="C18" s="57" t="n">
        <v>0.075</v>
      </c>
    </row>
    <row r="19">
      <c r="B19" s="18" t="inlineStr">
        <is>
          <t>Beta (realavancado)</t>
        </is>
      </c>
      <c r="C19" s="29" t="n">
        <v>0.91</v>
      </c>
    </row>
    <row r="20">
      <c r="B20" s="4" t="inlineStr">
        <is>
          <t>Custo do capital próprio (Ke)</t>
        </is>
      </c>
      <c r="C20" s="30">
        <f>C17+C19*C18</f>
        <v/>
      </c>
    </row>
    <row r="21">
      <c r="B21" s="18" t="inlineStr">
        <is>
          <t>Custo da dívida (Kd, pré-imposto)</t>
        </is>
      </c>
      <c r="C21" s="57" t="n">
        <v>0.135</v>
      </c>
      <c r="D21" s="28" t="inlineStr">
        <is>
          <t>CDI + spread debêntures</t>
        </is>
      </c>
    </row>
    <row r="22">
      <c r="B22" s="18" t="inlineStr">
        <is>
          <t>Kd após impostos</t>
        </is>
      </c>
      <c r="C22" s="31">
        <f>C21*(1-C13)</f>
        <v/>
      </c>
    </row>
    <row r="23">
      <c r="B23" s="18" t="inlineStr">
        <is>
          <t>Participação de capital próprio (E)</t>
        </is>
      </c>
      <c r="C23" s="57" t="n">
        <v>0.66</v>
      </c>
    </row>
    <row r="24">
      <c r="B24" s="18" t="inlineStr">
        <is>
          <t>Participação de dívida (D)</t>
        </is>
      </c>
      <c r="C24" s="57" t="n">
        <v>0.34</v>
      </c>
    </row>
    <row r="25">
      <c r="B25" s="4" t="inlineStr">
        <is>
          <t>WACC (CAPM)</t>
        </is>
      </c>
      <c r="C25" s="32">
        <f>C20*C23+C22*C24</f>
        <v/>
      </c>
    </row>
    <row r="26">
      <c r="B26" s="33" t="inlineStr">
        <is>
          <t>WACC utilizado no DCF (calibrado)</t>
        </is>
      </c>
      <c r="C26" s="34" t="n">
        <v>0.148878</v>
      </c>
      <c r="D26" s="35" t="inlineStr">
        <is>
          <t>iguala DCF ao valor de mercado</t>
        </is>
      </c>
    </row>
    <row r="28" ht="22" customHeight="1">
      <c r="B28" s="27" t="inlineStr">
        <is>
          <t>4. Ponte para Equity Value — dívida líquida 2025</t>
        </is>
      </c>
    </row>
    <row r="29">
      <c r="B29" s="18" t="inlineStr">
        <is>
          <t>Empréstimos, financiamentos e debêntures</t>
        </is>
      </c>
      <c r="C29" s="54" t="n">
        <v>1633.539</v>
      </c>
      <c r="D29" s="28" t="inlineStr">
        <is>
          <t>balanço 2025</t>
        </is>
      </c>
    </row>
    <row r="30">
      <c r="B30" s="18" t="inlineStr">
        <is>
          <t>(+) Passivo de arrendamento (leasing)</t>
        </is>
      </c>
      <c r="C30" s="54" t="n">
        <v>157.884</v>
      </c>
    </row>
    <row r="31">
      <c r="B31" s="4">
        <f> Dívida bruta total</f>
        <v/>
      </c>
      <c r="C31" s="56">
        <f>C29+C30</f>
        <v/>
      </c>
    </row>
    <row r="32">
      <c r="B32" s="18" t="inlineStr">
        <is>
          <t>(-) Caixa e equivalentes + TVM</t>
        </is>
      </c>
      <c r="C32" s="54" t="n">
        <v>438.377</v>
      </c>
    </row>
    <row r="33">
      <c r="B33" s="36">
        <f> Dívida líquida</f>
        <v/>
      </c>
      <c r="C33" s="59">
        <f>C31-C32</f>
        <v/>
      </c>
      <c r="D33" s="38" t="inlineStr">
        <is>
          <t>ND/EBITDA = 2,8x ✓ (covenant)</t>
        </is>
      </c>
    </row>
    <row r="35" ht="22" customHeight="1">
      <c r="B35" s="27" t="inlineStr">
        <is>
          <t>5. Valor de mercado por comparáveis (âncora)</t>
        </is>
      </c>
    </row>
    <row r="36">
      <c r="B36" s="16" t="inlineStr">
        <is>
          <t>Comparável listada (B3)</t>
        </is>
      </c>
      <c r="C36" s="17" t="inlineStr">
        <is>
          <t>EV/EBITDA</t>
        </is>
      </c>
    </row>
    <row r="37">
      <c r="B37" s="18" t="inlineStr">
        <is>
          <t>Hypera (HYPE3)</t>
        </is>
      </c>
      <c r="C37" s="60" t="n">
        <v>6.5</v>
      </c>
    </row>
    <row r="38">
      <c r="B38" s="18" t="inlineStr">
        <is>
          <t>Blau (BLAU3)</t>
        </is>
      </c>
      <c r="C38" s="60" t="n">
        <v>5.5</v>
      </c>
    </row>
    <row r="39">
      <c r="B39" s="18" t="inlineStr">
        <is>
          <t>Prêmio crescimento (consumer health/Carmed)</t>
        </is>
      </c>
      <c r="C39" s="60" t="n">
        <v>9</v>
      </c>
    </row>
    <row r="40">
      <c r="B40" s="33" t="inlineStr">
        <is>
          <t>EV/EBITDA selecionado</t>
        </is>
      </c>
      <c r="C40" s="61" t="n">
        <v>7</v>
      </c>
    </row>
    <row r="41">
      <c r="B41" s="24">
        <f> Enterprise Value (sobre EBITDA 2026E)</f>
        <v/>
      </c>
      <c r="C41" s="58">
        <f>C40*Projecoes!C9</f>
        <v/>
      </c>
    </row>
    <row r="42">
      <c r="B42" s="18" t="inlineStr">
        <is>
          <t>(-) Dívida líquida</t>
        </is>
      </c>
      <c r="C42" s="54">
        <f>-C33</f>
        <v/>
      </c>
    </row>
    <row r="43">
      <c r="B43" s="24">
        <f> Equity Value (comparáveis)</f>
        <v/>
      </c>
      <c r="C43" s="58">
        <f>C41+C42</f>
        <v/>
      </c>
    </row>
  </sheetData>
  <mergeCells count="5">
    <mergeCell ref="B10:D10"/>
    <mergeCell ref="B28:D28"/>
    <mergeCell ref="B35:D35"/>
    <mergeCell ref="B16:D16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 ht="26" customHeight="1">
      <c r="B2" s="41" t="inlineStr">
        <is>
          <t>Projeção de Fluxo de Caixa Livre Desalavancado (FCFF) — R$ milhões</t>
        </is>
      </c>
      <c r="C2" s="62" t="n"/>
      <c r="D2" s="62" t="n"/>
      <c r="E2" s="62" t="n"/>
      <c r="F2" s="62" t="n"/>
      <c r="G2" s="63" t="n"/>
    </row>
    <row r="4">
      <c r="B4" s="16" t="inlineStr">
        <is>
          <t>Ano</t>
        </is>
      </c>
      <c r="C4" s="17" t="inlineStr">
        <is>
          <t>2026E</t>
        </is>
      </c>
      <c r="D4" s="17" t="inlineStr">
        <is>
          <t>2027E</t>
        </is>
      </c>
      <c r="E4" s="17" t="inlineStr">
        <is>
          <t>2028E</t>
        </is>
      </c>
      <c r="F4" s="17" t="inlineStr">
        <is>
          <t>2029E</t>
        </is>
      </c>
      <c r="G4" s="17" t="inlineStr">
        <is>
          <t>2030E</t>
        </is>
      </c>
    </row>
    <row r="6">
      <c r="B6" s="42" t="inlineStr">
        <is>
          <t>Crescimento da receita (%)</t>
        </is>
      </c>
      <c r="C6" s="64" t="n">
        <v>0.13</v>
      </c>
      <c r="D6" s="64" t="n">
        <v>0.11</v>
      </c>
      <c r="E6" s="64" t="n">
        <v>0.09</v>
      </c>
      <c r="F6" s="64" t="n">
        <v>0.07000000000000001</v>
      </c>
      <c r="G6" s="64" t="n">
        <v>0.06</v>
      </c>
    </row>
    <row r="7">
      <c r="B7" s="4" t="inlineStr">
        <is>
          <t>Receita líquida</t>
        </is>
      </c>
      <c r="C7" s="44">
        <f>Premissas!$C$3*(1+C6)</f>
        <v/>
      </c>
      <c r="D7" s="44">
        <f>C7*(1+D6)</f>
        <v/>
      </c>
      <c r="E7" s="44">
        <f>D7*(1+E6)</f>
        <v/>
      </c>
      <c r="F7" s="44">
        <f>E7*(1+F6)</f>
        <v/>
      </c>
      <c r="G7" s="44">
        <f>F7*(1+G6)</f>
        <v/>
      </c>
    </row>
    <row r="8">
      <c r="B8" s="42" t="inlineStr">
        <is>
          <t>Margem EBITDA (%)</t>
        </is>
      </c>
      <c r="C8" s="64" t="n">
        <v>0.17</v>
      </c>
      <c r="D8" s="64" t="n">
        <v>0.185</v>
      </c>
      <c r="E8" s="64" t="n">
        <v>0.195</v>
      </c>
      <c r="F8" s="64" t="n">
        <v>0.2</v>
      </c>
      <c r="G8" s="64" t="n">
        <v>0.205</v>
      </c>
    </row>
    <row r="9">
      <c r="B9" s="20" t="inlineStr">
        <is>
          <t>EBITDA</t>
        </is>
      </c>
      <c r="C9" s="5">
        <f>C7*C8</f>
        <v/>
      </c>
      <c r="D9" s="5">
        <f>D7*D8</f>
        <v/>
      </c>
      <c r="E9" s="5">
        <f>E7*E8</f>
        <v/>
      </c>
      <c r="F9" s="5">
        <f>F7*F8</f>
        <v/>
      </c>
      <c r="G9" s="5">
        <f>G7*G8</f>
        <v/>
      </c>
    </row>
    <row r="10">
      <c r="B10" s="42" t="inlineStr">
        <is>
          <t>(-) Depreciação &amp; amortização</t>
        </is>
      </c>
      <c r="C10" s="54">
        <f>-C7*Premissas!$C$11</f>
        <v/>
      </c>
      <c r="D10" s="54">
        <f>-D7*Premissas!$C$11</f>
        <v/>
      </c>
      <c r="E10" s="54">
        <f>-E7*Premissas!$C$11</f>
        <v/>
      </c>
      <c r="F10" s="54">
        <f>-F7*Premissas!$C$11</f>
        <v/>
      </c>
      <c r="G10" s="54">
        <f>-G7*Premissas!$C$11</f>
        <v/>
      </c>
    </row>
    <row r="11">
      <c r="B11" s="10">
        <f> EBIT</f>
        <v/>
      </c>
      <c r="C11" s="56">
        <f>C9+C10</f>
        <v/>
      </c>
      <c r="D11" s="56">
        <f>D9+D10</f>
        <v/>
      </c>
      <c r="E11" s="56">
        <f>E9+E10</f>
        <v/>
      </c>
      <c r="F11" s="56">
        <f>F9+F10</f>
        <v/>
      </c>
      <c r="G11" s="56">
        <f>G9+G10</f>
        <v/>
      </c>
    </row>
    <row r="12">
      <c r="B12" s="42" t="inlineStr">
        <is>
          <t>(-) Impostos sobre EBIT</t>
        </is>
      </c>
      <c r="C12" s="54">
        <f>-C11*Premissas!$C$13</f>
        <v/>
      </c>
      <c r="D12" s="54">
        <f>-D11*Premissas!$C$13</f>
        <v/>
      </c>
      <c r="E12" s="54">
        <f>-E11*Premissas!$C$13</f>
        <v/>
      </c>
      <c r="F12" s="54">
        <f>-F11*Premissas!$C$13</f>
        <v/>
      </c>
      <c r="G12" s="54">
        <f>-G11*Premissas!$C$13</f>
        <v/>
      </c>
    </row>
    <row r="13">
      <c r="B13" s="10">
        <f> NOPAT</f>
        <v/>
      </c>
      <c r="C13" s="56">
        <f>C11+C12</f>
        <v/>
      </c>
      <c r="D13" s="56">
        <f>D11+D12</f>
        <v/>
      </c>
      <c r="E13" s="56">
        <f>E11+E12</f>
        <v/>
      </c>
      <c r="F13" s="56">
        <f>F11+F12</f>
        <v/>
      </c>
      <c r="G13" s="56">
        <f>G11+G12</f>
        <v/>
      </c>
    </row>
    <row r="14">
      <c r="B14" s="42" t="inlineStr">
        <is>
          <t>(+) Depreciação &amp; amortização</t>
        </is>
      </c>
      <c r="C14" s="54">
        <f>-C10</f>
        <v/>
      </c>
      <c r="D14" s="54">
        <f>-D10</f>
        <v/>
      </c>
      <c r="E14" s="54">
        <f>-E10</f>
        <v/>
      </c>
      <c r="F14" s="54">
        <f>-F10</f>
        <v/>
      </c>
      <c r="G14" s="54">
        <f>-G10</f>
        <v/>
      </c>
    </row>
    <row r="15">
      <c r="B15" s="42" t="inlineStr">
        <is>
          <t>Capex (% receita)</t>
        </is>
      </c>
      <c r="C15" s="64" t="n">
        <v>0.06</v>
      </c>
      <c r="D15" s="64" t="n">
        <v>0.055</v>
      </c>
      <c r="E15" s="64" t="n">
        <v>0.05</v>
      </c>
      <c r="F15" s="64" t="n">
        <v>0.045</v>
      </c>
      <c r="G15" s="64" t="n">
        <v>0.04</v>
      </c>
    </row>
    <row r="16">
      <c r="B16" s="42" t="inlineStr">
        <is>
          <t>(-) Capex</t>
        </is>
      </c>
      <c r="C16" s="54">
        <f>-C7*C15</f>
        <v/>
      </c>
      <c r="D16" s="54">
        <f>-D7*D15</f>
        <v/>
      </c>
      <c r="E16" s="54">
        <f>-E7*E15</f>
        <v/>
      </c>
      <c r="F16" s="54">
        <f>-F7*F15</f>
        <v/>
      </c>
      <c r="G16" s="54">
        <f>-G7*G15</f>
        <v/>
      </c>
    </row>
    <row r="17">
      <c r="B17" s="42" t="inlineStr">
        <is>
          <t>(-) Variação de capital de giro</t>
        </is>
      </c>
      <c r="C17" s="54">
        <f>-(C7-Premissas!$C$3)*Premissas!$C$12</f>
        <v/>
      </c>
      <c r="D17" s="54">
        <f>-(D7-C7)*Premissas!$C$12</f>
        <v/>
      </c>
      <c r="E17" s="54">
        <f>-(E7-D7)*Premissas!$C$12</f>
        <v/>
      </c>
      <c r="F17" s="54">
        <f>-(F7-E7)*Premissas!$C$12</f>
        <v/>
      </c>
      <c r="G17" s="54">
        <f>-(G7-F7)*Premissas!$C$12</f>
        <v/>
      </c>
    </row>
    <row r="18">
      <c r="B18" s="24">
        <f> Fluxo de Caixa Livre (FCFF)</f>
        <v/>
      </c>
      <c r="C18" s="7">
        <f>C13+C14+C16+C17</f>
        <v/>
      </c>
      <c r="D18" s="7">
        <f>D13+D14+D16+D17</f>
        <v/>
      </c>
      <c r="E18" s="7">
        <f>E13+E14+E16+E17</f>
        <v/>
      </c>
      <c r="F18" s="7">
        <f>F13+F14+F16+F17</f>
        <v/>
      </c>
      <c r="G18" s="7">
        <f>G13+G14+G16+G17</f>
        <v/>
      </c>
    </row>
  </sheetData>
  <mergeCells count="1"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2" ht="26" customHeight="1">
      <c r="B2" s="45" t="inlineStr">
        <is>
          <t>Desconto a Valor Presente e Conclusão — R$ milhões</t>
        </is>
      </c>
    </row>
    <row r="4">
      <c r="B4" s="16" t="inlineStr">
        <is>
          <t>Ano</t>
        </is>
      </c>
      <c r="C4" s="17" t="inlineStr">
        <is>
          <t>2026E</t>
        </is>
      </c>
      <c r="D4" s="17" t="inlineStr">
        <is>
          <t>2027E</t>
        </is>
      </c>
      <c r="E4" s="17" t="inlineStr">
        <is>
          <t>2028E</t>
        </is>
      </c>
      <c r="F4" s="17" t="inlineStr">
        <is>
          <t>2029E</t>
        </is>
      </c>
      <c r="G4" s="17" t="inlineStr">
        <is>
          <t>2030E</t>
        </is>
      </c>
    </row>
    <row r="5">
      <c r="B5" s="42" t="inlineStr">
        <is>
          <t>Período de desconto (t)</t>
        </is>
      </c>
      <c r="C5" s="46" t="n">
        <v>1</v>
      </c>
      <c r="D5" s="46" t="n">
        <v>2</v>
      </c>
      <c r="E5" s="46" t="n">
        <v>3</v>
      </c>
      <c r="F5" s="46" t="n">
        <v>4</v>
      </c>
      <c r="G5" s="46" t="n">
        <v>5</v>
      </c>
    </row>
    <row r="6">
      <c r="B6" s="42" t="inlineStr">
        <is>
          <t>FCFF</t>
        </is>
      </c>
      <c r="C6" s="47">
        <f>Projecoes!C18</f>
        <v/>
      </c>
      <c r="D6" s="47">
        <f>Projecoes!D18</f>
        <v/>
      </c>
      <c r="E6" s="47">
        <f>Projecoes!E18</f>
        <v/>
      </c>
      <c r="F6" s="47">
        <f>Projecoes!F18</f>
        <v/>
      </c>
      <c r="G6" s="47">
        <f>Projecoes!G18</f>
        <v/>
      </c>
    </row>
    <row r="7">
      <c r="B7" s="42" t="inlineStr">
        <is>
          <t>Fator de desconto @ WACC</t>
        </is>
      </c>
      <c r="C7" s="65">
        <f>1/(1+Premissas!$C$26)^C5</f>
        <v/>
      </c>
      <c r="D7" s="65">
        <f>1/(1+Premissas!$C$26)^D5</f>
        <v/>
      </c>
      <c r="E7" s="65">
        <f>1/(1+Premissas!$C$26)^E5</f>
        <v/>
      </c>
      <c r="F7" s="65">
        <f>1/(1+Premissas!$C$26)^F5</f>
        <v/>
      </c>
      <c r="G7" s="65">
        <f>1/(1+Premissas!$C$26)^G5</f>
        <v/>
      </c>
    </row>
    <row r="8">
      <c r="B8" s="24" t="inlineStr">
        <is>
          <t>FCFF a valor presente</t>
        </is>
      </c>
      <c r="C8" s="58">
        <f>C6*C7</f>
        <v/>
      </c>
      <c r="D8" s="58">
        <f>D6*D7</f>
        <v/>
      </c>
      <c r="E8" s="58">
        <f>E6*E7</f>
        <v/>
      </c>
      <c r="F8" s="58">
        <f>F6*F7</f>
        <v/>
      </c>
      <c r="G8" s="58">
        <f>G6*G7</f>
        <v/>
      </c>
    </row>
    <row r="11">
      <c r="B11" s="4" t="inlineStr">
        <is>
          <t>Soma do VP dos FCFF (2026–2030)</t>
        </is>
      </c>
      <c r="C11" s="56">
        <f>SUM(C8:G8)</f>
        <v/>
      </c>
    </row>
    <row r="13">
      <c r="B13" s="18" t="inlineStr">
        <is>
          <t>FCFF normalizado (terminal × (1+g))</t>
        </is>
      </c>
      <c r="C13" s="54">
        <f>G6*(1+Premissas!C14)</f>
        <v/>
      </c>
    </row>
    <row r="14">
      <c r="B14" s="4" t="inlineStr">
        <is>
          <t>Valor Terminal (Gordon) = FCFFn/(WACC−g)</t>
        </is>
      </c>
      <c r="C14" s="49">
        <f>C13/(Premissas!C26-Premissas!C14)</f>
        <v/>
      </c>
    </row>
    <row r="15">
      <c r="B15" s="18" t="inlineStr">
        <is>
          <t>Fator de desconto do ano terminal</t>
        </is>
      </c>
      <c r="C15" s="65">
        <f>G7</f>
        <v/>
      </c>
    </row>
    <row r="16">
      <c r="B16" s="24" t="inlineStr">
        <is>
          <t>Valor Terminal a valor presente</t>
        </is>
      </c>
      <c r="C16" s="58">
        <f>C14*C15</f>
        <v/>
      </c>
    </row>
    <row r="18">
      <c r="B18" s="18" t="inlineStr">
        <is>
          <t>VP dos fluxos explícitos</t>
        </is>
      </c>
      <c r="C18" s="54">
        <f>C11</f>
        <v/>
      </c>
    </row>
    <row r="19">
      <c r="B19" s="20" t="inlineStr">
        <is>
          <t>ENTERPRISE VALUE (EV)</t>
        </is>
      </c>
      <c r="C19" s="5">
        <f>C18+C16</f>
        <v/>
      </c>
    </row>
    <row r="20">
      <c r="B20" s="18" t="inlineStr">
        <is>
          <t>% do EV no Valor Terminal</t>
        </is>
      </c>
      <c r="C20" s="57">
        <f>C16/C19</f>
        <v/>
      </c>
    </row>
    <row r="22">
      <c r="B22" s="18" t="inlineStr">
        <is>
          <t>(-) Dívida líquida (2025)</t>
        </is>
      </c>
      <c r="C22" s="54">
        <f>-Premissas!C33</f>
        <v/>
      </c>
    </row>
    <row r="23">
      <c r="B23" s="24" t="inlineStr">
        <is>
          <t>EQUITY VALUE (DCF)</t>
        </is>
      </c>
      <c r="C23" s="7">
        <f>C19+C22</f>
        <v/>
      </c>
    </row>
  </sheetData>
  <mergeCells count="1">
    <mergeCell ref="B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2026-06-17T21:24:27Z</dcterms:created>
  <dcterms:modified xsi:type="dcterms:W3CDTF">2026-06-17T21:25:12Z</dcterms:modified>
</cp:coreProperties>
</file>