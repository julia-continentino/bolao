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WACC" sheetId="3" state="visible" r:id="rId3"/>
    <sheet name="Impostos" sheetId="4" state="visible" r:id="rId4"/>
    <sheet name="Premissas" sheetId="5" state="visible" r:id="rId5"/>
    <sheet name="Capital_de_Giro" sheetId="6" state="visible" r:id="rId6"/>
    <sheet name="Projecoes" sheetId="7" state="visible" r:id="rId7"/>
    <sheet name="DC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&quot;x&quot;"/>
    <numFmt numFmtId="167" formatCode="0&quot;d&quot;"/>
    <numFmt numFmtId="168" formatCode="0.000"/>
    <numFmt numFmtId="169" formatCode="&quot;R$ &quot;#,##0.00&quot; bi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169" fontId="4" fillId="6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5" fillId="7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7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0" fontId="4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7" customWidth="1" min="3" max="3"/>
    <col width="3" customWidth="1" min="4" max="4"/>
    <col width="22" customWidth="1" min="5" max="5"/>
    <col width="15" customWidth="1" min="6" max="6"/>
    <col width="3" customWidth="1" min="7" max="7"/>
  </cols>
  <sheetData>
    <row r="2" ht="30" customHeight="1">
      <c r="B2" s="1" t="inlineStr">
        <is>
          <t>CIMED &amp; CO S.A. — Valuation para IPO (DCF intrínseco + Múltiplos)</t>
        </is>
      </c>
    </row>
    <row r="3" ht="16" customHeight="1">
      <c r="B3" s="2" t="inlineStr">
        <is>
          <t>Cenário SEM reforma tributária | imposto com prejuízo fiscal | WACC variável no tempo | capital de giro por dias de giro.</t>
        </is>
      </c>
    </row>
    <row r="5">
      <c r="B5" s="3" t="inlineStr">
        <is>
          <t>CONCLUSÃO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4115.654188</v>
        <v/>
      </c>
      <c r="E6" s="4" t="inlineStr">
        <is>
          <t>WACC 2026 → perpetuidade</t>
        </is>
      </c>
      <c r="F6" s="6">
        <f>WACC!C22</f>
        <v>0.169177</v>
        <v/>
      </c>
    </row>
    <row r="7">
      <c r="B7" s="4" t="inlineStr">
        <is>
          <t>(-) Dívida líquida</t>
        </is>
      </c>
      <c r="C7" s="5">
        <f>-Premissas!C22</f>
        <v>-1353.046</v>
        <v/>
      </c>
      <c r="E7" s="4" t="inlineStr">
        <is>
          <t>WACC na perpetuidade</t>
        </is>
      </c>
      <c r="F7" s="6">
        <f>WACC!H22</f>
        <v>0.165022</v>
        <v/>
      </c>
    </row>
    <row r="8">
      <c r="B8" s="4">
        <f> Equity Value (DCF)</f>
        <v/>
      </c>
      <c r="C8" s="7">
        <f>DCF!C23</f>
        <v>2762.608188</v>
        <v/>
      </c>
      <c r="E8" s="4" t="inlineStr">
        <is>
          <t>Alíquota efetiva 2026 → perp.</t>
        </is>
      </c>
      <c r="F8" s="8">
        <f>Impostos!C19</f>
        <v>0.107578</v>
        <v/>
      </c>
    </row>
    <row r="9">
      <c r="E9" s="4" t="inlineStr">
        <is>
          <t>Prejuízo fiscal inicial (R$ mi)</t>
        </is>
      </c>
      <c r="F9" s="5">
        <f>Impostos!C8</f>
        <v>754.976471</v>
        <v/>
      </c>
    </row>
    <row r="10">
      <c r="B10" s="4" t="inlineStr">
        <is>
          <t>Equity Value (múltiplos 7,0x) — cross-check</t>
        </is>
      </c>
      <c r="C10" s="9">
        <f>Premissas!C31</f>
        <v>2735.443283</v>
        <v/>
      </c>
      <c r="E10" s="4" t="inlineStr">
        <is>
          <t>Crescimento perpétuo (g)</t>
        </is>
      </c>
      <c r="F10" s="8">
        <f>Premissas!C14</f>
        <v>0.05</v>
        <v/>
      </c>
    </row>
    <row r="11">
      <c r="B11" s="4" t="inlineStr">
        <is>
          <t>DCF vs. múltiplos (validação)</t>
        </is>
      </c>
      <c r="C11" s="10" t="inlineStr">
        <is>
          <t>DCF ≈ 7,0x ✓</t>
        </is>
      </c>
      <c r="E11" s="4" t="inlineStr">
        <is>
          <t>EV/EBITDA 2026E implícito (DCF)</t>
        </is>
      </c>
      <c r="F11" s="11">
        <f>DCF!C19/Projecoes!C9</f>
        <v>7.04651</v>
        <v/>
      </c>
    </row>
    <row r="12">
      <c r="E12" s="4" t="inlineStr">
        <is>
          <t>EBITDA 2025A</t>
        </is>
      </c>
      <c r="F12" s="5">
        <f>Premissas!C8</f>
        <v>480.161</v>
        <v/>
      </c>
    </row>
    <row r="13">
      <c r="B13" s="4" t="inlineStr">
        <is>
          <t>EQUITY VALUE (DCF, R$ bi)</t>
        </is>
      </c>
      <c r="C13" s="12">
        <f>DCF!C23/1000</f>
        <v>2.762608</v>
        <v/>
      </c>
    </row>
    <row r="14">
      <c r="E14" s="13" t="inlineStr">
        <is>
          <t>Premissas de mercado verdadeiras (não calibradas a alvo): Rf NTN-B ~11,5%, ERP FGV 8,19%, Kd 14%, βu 0,70 -&gt; WACC ~16,5-16,9% que VARIA no tempo conforme o escudo fiscal da dívida (aba WACC). O imposto reflete o uso do prejuízo fiscal de R$755mi + crédito presumido de ICMS (cenário SEM reforma). Resultado: Equity ~R$2,8bi. O cross-check por múltiplos (EV/EBITDA implícito 7,05x ≈ Hypera 7,56x) CONFIRMA as premissas, em vez de impô-las. Células amarelas = inputs editáveis.</t>
        </is>
      </c>
    </row>
    <row r="15">
      <c r="B15" s="13" t="inlineStr">
        <is>
          <t>Abas:
• Historico — DFs auditadas 2024/25 (+ DTA prej. fiscal)
• WACC — custo de capital variável no tempo
• Impostos — IR com prejuízo fiscal (trava 30%)
• Premissas — drivers + múltiplos
• Capital_de_Giro — dias de giro (DSO/DIO/DPO)
• Projecoes — DRE → FCFF
• DCF — desconto e conclusão</t>
        </is>
      </c>
    </row>
    <row r="16"/>
    <row r="17"/>
    <row r="18"/>
    <row r="19"/>
    <row r="20"/>
    <row r="21"/>
    <row r="22"/>
    <row r="23"/>
    <row r="24"/>
  </sheetData>
  <mergeCells count="4">
    <mergeCell ref="B2:F2"/>
    <mergeCell ref="E14:F24"/>
    <mergeCell ref="B3:F3"/>
    <mergeCell ref="B15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30" customWidth="1" min="5" max="5"/>
  </cols>
  <sheetData>
    <row r="2">
      <c r="B2" s="14" t="inlineStr">
        <is>
          <t>CIMED &amp; CO S.A. — Demonstrações Financeiras Consolidadas (KPMG, 17/03/2026)</t>
        </is>
      </c>
    </row>
    <row r="3">
      <c r="B3" s="15" t="inlineStr">
        <is>
          <t>R$ milhões. Fonte: DFs Cimed &amp; Co S.A. de 31/12/2025 e 2024 (RI).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líquida de venda</t>
        </is>
      </c>
      <c r="C6" s="19" t="n">
        <v>3067.594</v>
      </c>
      <c r="D6" s="19" t="n">
        <v>2726.887</v>
      </c>
    </row>
    <row r="7">
      <c r="B7" s="20" t="inlineStr">
        <is>
          <t>(-) Custo das mercadorias vendidas</t>
        </is>
      </c>
      <c r="C7" s="21" t="n">
        <v>-1684.485</v>
      </c>
      <c r="D7" s="21" t="n">
        <v>-1402.853</v>
      </c>
    </row>
    <row r="8">
      <c r="B8" s="22">
        <f> Lucro bruto</f>
        <v/>
      </c>
      <c r="C8" s="23" t="n">
        <v>1383.109</v>
      </c>
      <c r="D8" s="23" t="n">
        <v>1324.034</v>
      </c>
    </row>
    <row r="9">
      <c r="B9" s="20" t="inlineStr">
        <is>
          <t>(-) Despesas comerciais</t>
        </is>
      </c>
      <c r="C9" s="21" t="n">
        <v>-621.016</v>
      </c>
      <c r="D9" s="21" t="n">
        <v>-539.982</v>
      </c>
    </row>
    <row r="10">
      <c r="B10" s="20" t="inlineStr">
        <is>
          <t>(-) Despesas administrativas</t>
        </is>
      </c>
      <c r="C10" s="21" t="n">
        <v>-396.865</v>
      </c>
      <c r="D10" s="21" t="n">
        <v>-318.157</v>
      </c>
    </row>
    <row r="11">
      <c r="B11" s="20" t="inlineStr">
        <is>
          <t>(-) Perdas de crédito esperadas</t>
        </is>
      </c>
      <c r="C11" s="21" t="n">
        <v>-18.226</v>
      </c>
      <c r="D11" s="21" t="n">
        <v>-9.775</v>
      </c>
    </row>
    <row r="12">
      <c r="B12" s="20" t="inlineStr">
        <is>
          <t>(+) Outras receitas (despesas) op.</t>
        </is>
      </c>
      <c r="C12" s="21" t="n">
        <v>11.825</v>
      </c>
      <c r="D12" s="21" t="n">
        <v>5.022</v>
      </c>
    </row>
    <row r="13">
      <c r="B13" s="24">
        <f> EBIT</f>
        <v/>
      </c>
      <c r="C13" s="25" t="n">
        <v>358.827</v>
      </c>
      <c r="D13" s="25" t="n">
        <v>461.142</v>
      </c>
    </row>
    <row r="14">
      <c r="B14" s="20" t="inlineStr">
        <is>
          <t>(+) Depreciação &amp; amortização</t>
        </is>
      </c>
      <c r="C14" s="21" t="n">
        <v>121.334</v>
      </c>
      <c r="D14" s="21" t="n">
        <v>113.842</v>
      </c>
      <c r="E14" s="26" t="inlineStr">
        <is>
          <t>CMV 37,5 + Opex 83,9</t>
        </is>
      </c>
    </row>
    <row r="15">
      <c r="B15" s="24">
        <f> EBITDA</f>
        <v/>
      </c>
      <c r="C15" s="25" t="n">
        <v>480.161</v>
      </c>
      <c r="D15" s="25" t="n">
        <v>574.984</v>
      </c>
    </row>
    <row r="16">
      <c r="B16" s="20" t="inlineStr">
        <is>
          <t xml:space="preserve">  margem EBITDA</t>
        </is>
      </c>
      <c r="C16" s="27" t="n">
        <v>0.1565269067549356</v>
      </c>
      <c r="D16" s="27" t="n">
        <v>0.2108572889158957</v>
      </c>
    </row>
    <row r="17">
      <c r="B17" s="18">
        <f> Lucro líquido</f>
        <v/>
      </c>
      <c r="C17" s="19" t="n">
        <v>196.709</v>
      </c>
      <c r="D17" s="19" t="n">
        <v>280.949</v>
      </c>
    </row>
    <row r="19">
      <c r="B19" s="16" t="inlineStr">
        <is>
          <t>BALANÇO (resumo)</t>
        </is>
      </c>
      <c r="C19" s="17" t="inlineStr">
        <is>
          <t>2025</t>
        </is>
      </c>
      <c r="D19" s="17" t="inlineStr">
        <is>
          <t>2024</t>
        </is>
      </c>
    </row>
    <row r="20">
      <c r="B20" s="20" t="inlineStr">
        <is>
          <t>Caixa + TVM</t>
        </is>
      </c>
      <c r="C20" s="21" t="n">
        <v>438.377</v>
      </c>
      <c r="D20" s="21" t="n">
        <v>701.389</v>
      </c>
    </row>
    <row r="21">
      <c r="B21" s="20" t="inlineStr">
        <is>
          <t>Contas a receber</t>
        </is>
      </c>
      <c r="C21" s="21" t="n">
        <v>1106.327</v>
      </c>
      <c r="D21" s="21" t="n">
        <v>757.47</v>
      </c>
    </row>
    <row r="22">
      <c r="B22" s="20" t="inlineStr">
        <is>
          <t>Estoques</t>
        </is>
      </c>
      <c r="C22" s="21" t="n">
        <v>699.5069999999999</v>
      </c>
      <c r="D22" s="21" t="n">
        <v>507.999</v>
      </c>
    </row>
    <row r="23">
      <c r="B23" s="20" t="inlineStr">
        <is>
          <t>Fornecedores</t>
        </is>
      </c>
      <c r="C23" s="21" t="n">
        <v>677.3920000000001</v>
      </c>
      <c r="D23" s="21" t="n">
        <v>623.978</v>
      </c>
    </row>
    <row r="24">
      <c r="B24" s="20" t="inlineStr">
        <is>
          <t>Empréstimos, financ. e debêntures</t>
        </is>
      </c>
      <c r="C24" s="21" t="n">
        <v>1633.539</v>
      </c>
      <c r="D24" s="21" t="n">
        <v>1402.87</v>
      </c>
    </row>
    <row r="25">
      <c r="B25" s="20" t="inlineStr">
        <is>
          <t>Passivo de arrendamento</t>
        </is>
      </c>
      <c r="C25" s="21" t="n">
        <v>157.884</v>
      </c>
      <c r="D25" s="21" t="n">
        <v>68.85899999999999</v>
      </c>
    </row>
    <row r="26">
      <c r="B26" s="18" t="inlineStr">
        <is>
          <t>Patrimônio líquido</t>
        </is>
      </c>
      <c r="C26" s="19" t="n">
        <v>1228.271</v>
      </c>
      <c r="D26" s="19" t="n">
        <v>777.744</v>
      </c>
    </row>
    <row r="28">
      <c r="B28" s="16" t="inlineStr">
        <is>
          <t>ATIVO FISCAL DIFERIDO — prejuízo fiscal</t>
        </is>
      </c>
      <c r="C28" s="17" t="inlineStr">
        <is>
          <t>2025</t>
        </is>
      </c>
      <c r="D28" s="17" t="inlineStr">
        <is>
          <t>2024</t>
        </is>
      </c>
    </row>
    <row r="29">
      <c r="B29" s="20" t="inlineStr">
        <is>
          <t>DTA s/ prejuízos fiscais + base neg. CSLL</t>
        </is>
      </c>
      <c r="C29" s="21" t="n">
        <v>256.692</v>
      </c>
      <c r="D29" s="21" t="n">
        <v>228.8</v>
      </c>
      <c r="E29" s="26" t="inlineStr">
        <is>
          <t>cresce: ainda gera prej. fiscal</t>
        </is>
      </c>
    </row>
    <row r="30">
      <c r="B30" s="22" t="inlineStr">
        <is>
          <t>Estoque de prejuízo fiscal implícito (÷34%)</t>
        </is>
      </c>
      <c r="C30" s="23" t="n">
        <v>754.9764705882353</v>
      </c>
      <c r="D30" s="23" t="n">
        <v>672.9411764705882</v>
      </c>
      <c r="E30" s="26" t="inlineStr">
        <is>
          <t>usado na aba Impostos</t>
        </is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</cols>
  <sheetData>
    <row r="2" ht="26" customHeight="1">
      <c r="B2" s="28" t="inlineStr">
        <is>
          <t>WACC — Custo de Capital com Alíquota e Taxa de Desconto Variáveis no Tempo</t>
        </is>
      </c>
    </row>
    <row r="4" ht="22" customHeight="1">
      <c r="B4" s="29" t="inlineStr">
        <is>
          <t>1. Estrutura de capital alvo (a mercado)</t>
        </is>
      </c>
    </row>
    <row r="5">
      <c r="B5" s="30" t="inlineStr">
        <is>
          <t>Capital próprio / Valor (E/V)</t>
        </is>
      </c>
      <c r="C5" s="31" t="n">
        <v>0.67</v>
      </c>
      <c r="I5" s="26" t="inlineStr">
        <is>
          <t>≈ pós-IPO</t>
        </is>
      </c>
    </row>
    <row r="6">
      <c r="B6" s="30" t="inlineStr">
        <is>
          <t>Dívida / Valor (D/V)</t>
        </is>
      </c>
      <c r="C6" s="31" t="n">
        <v>0.33</v>
      </c>
    </row>
    <row r="7">
      <c r="B7" s="20" t="inlineStr">
        <is>
          <t>D/E (=D÷E)</t>
        </is>
      </c>
      <c r="C7" s="32" t="n">
        <v>0.4925373134328358</v>
      </c>
    </row>
    <row r="8" ht="22" customHeight="1">
      <c r="B8" s="29" t="inlineStr">
        <is>
          <t>2. Custo do capital próprio (Ke) — CAPM local (BRL nominal)</t>
        </is>
      </c>
    </row>
    <row r="9">
      <c r="B9" s="30" t="inlineStr">
        <is>
          <t>Taxa livre de risco (Rf)</t>
        </is>
      </c>
      <c r="C9" s="31" t="n">
        <v>0.115</v>
      </c>
      <c r="I9" s="26" t="inlineStr">
        <is>
          <t>NTN-B longa: real ~6,7% + inflação ~4,5%</t>
        </is>
      </c>
    </row>
    <row r="10">
      <c r="B10" s="30" t="inlineStr">
        <is>
          <t>Prêmio de risco de mercado (ERP)</t>
        </is>
      </c>
      <c r="C10" s="31" t="n">
        <v>0.0819</v>
      </c>
      <c r="I10" s="26" t="inlineStr">
        <is>
          <t>FGV/Ceqef (fev/2026)</t>
        </is>
      </c>
    </row>
    <row r="11">
      <c r="B11" s="30" t="inlineStr">
        <is>
          <t>Beta desalavancado (βu)</t>
        </is>
      </c>
      <c r="C11" s="33" t="n">
        <v>0.7</v>
      </c>
      <c r="I11" s="26" t="inlineStr">
        <is>
          <t>farma/consumo defensivo</t>
        </is>
      </c>
    </row>
    <row r="12">
      <c r="B12" s="30" t="inlineStr">
        <is>
          <t>Alíquota p/ realavancagem (estatutária)</t>
        </is>
      </c>
      <c r="C12" s="31" t="n">
        <v>0.34</v>
      </c>
    </row>
    <row r="13">
      <c r="B13" s="4" t="inlineStr">
        <is>
          <t>Beta realavancado (βL=βu·(1+(1-t)·D/E))</t>
        </is>
      </c>
      <c r="C13" s="34" t="n">
        <v>0.9275522388059702</v>
      </c>
    </row>
    <row r="14">
      <c r="B14" s="18" t="inlineStr">
        <is>
          <t>Custo do capital próprio (Ke=Rf+βL·ERP)</t>
        </is>
      </c>
      <c r="C14" s="6" t="n">
        <v>0.190966528358209</v>
      </c>
    </row>
    <row r="15" ht="22" customHeight="1">
      <c r="B15" s="29" t="inlineStr">
        <is>
          <t>3. Custo da dívida (Kd)</t>
        </is>
      </c>
    </row>
    <row r="16">
      <c r="B16" s="30" t="inlineStr">
        <is>
          <t>Kd pré-impostos</t>
        </is>
      </c>
      <c r="C16" s="31" t="n">
        <v>0.14</v>
      </c>
      <c r="I16" s="26" t="inlineStr">
        <is>
          <t>CDI ~13% + spread (debêntures CIMED)</t>
        </is>
      </c>
    </row>
    <row r="18" ht="22" customHeight="1">
      <c r="B18" s="29" t="inlineStr">
        <is>
          <t>4. WACC por ano (varia com a alíquota efetiva)</t>
        </is>
      </c>
    </row>
    <row r="19">
      <c r="B19" s="16" t="inlineStr">
        <is>
          <t>Ano</t>
        </is>
      </c>
      <c r="C19" s="17" t="inlineStr">
        <is>
          <t>2026E</t>
        </is>
      </c>
      <c r="D19" s="17" t="inlineStr">
        <is>
          <t>2027E</t>
        </is>
      </c>
      <c r="E19" s="17" t="inlineStr">
        <is>
          <t>2028E</t>
        </is>
      </c>
      <c r="F19" s="17" t="inlineStr">
        <is>
          <t>2029E</t>
        </is>
      </c>
      <c r="G19" s="17" t="inlineStr">
        <is>
          <t>2030E</t>
        </is>
      </c>
      <c r="H19" s="35" t="inlineStr">
        <is>
          <t>Perpet.</t>
        </is>
      </c>
    </row>
    <row r="20">
      <c r="B20" s="20" t="inlineStr">
        <is>
          <t>Alíquota efetiva de imposto (t)</t>
        </is>
      </c>
      <c r="C20" s="36">
        <f>Impostos!C19</f>
        <v>0.107578</v>
        <v/>
      </c>
      <c r="D20" s="36">
        <f>Impostos!D19</f>
        <v>0.12107</v>
        <v/>
      </c>
      <c r="E20" s="36">
        <f>Impostos!E19</f>
        <v>0.128614</v>
        <v/>
      </c>
      <c r="F20" s="36">
        <f>Impostos!F19</f>
        <v>0.135243</v>
        <v/>
      </c>
      <c r="G20" s="36">
        <f>Impostos!G19</f>
        <v>0.138265</v>
        <v/>
      </c>
      <c r="H20" s="36">
        <f>Impostos!H19</f>
        <v>0.197522</v>
        <v/>
      </c>
    </row>
    <row r="21">
      <c r="B21" s="37" t="inlineStr">
        <is>
          <t>Kd após impostos = Kd·(1−t)</t>
        </is>
      </c>
      <c r="C21" s="38">
        <f>$C$16*(1-C20)</f>
        <v>0.124939</v>
        <v/>
      </c>
      <c r="D21" s="38">
        <f>$C$16*(1-D20)</f>
        <v>0.12305</v>
        <v/>
      </c>
      <c r="E21" s="38">
        <f>$C$16*(1-E20)</f>
        <v>0.121994</v>
        <v/>
      </c>
      <c r="F21" s="38">
        <f>$C$16*(1-F20)</f>
        <v>0.121066</v>
        <v/>
      </c>
      <c r="G21" s="38">
        <f>$C$16*(1-G20)</f>
        <v>0.120643</v>
        <v/>
      </c>
      <c r="H21" s="38">
        <f>$C$16*(1-H20)</f>
        <v>0.112347</v>
        <v/>
      </c>
    </row>
    <row r="22">
      <c r="B22" s="39" t="inlineStr">
        <is>
          <t>WACC = Ke·(E/V) + Kd·(1−t)·(D/V)</t>
        </is>
      </c>
      <c r="C22" s="40">
        <f>$C$14*$C$5+C21*$C$6</f>
        <v>0.169177</v>
        <v/>
      </c>
      <c r="D22" s="40">
        <f>$C$14*$C$5+D21*$C$6</f>
        <v>0.168554</v>
        <v/>
      </c>
      <c r="E22" s="40">
        <f>$C$14*$C$5+E21*$C$6</f>
        <v>0.168206</v>
        <v/>
      </c>
      <c r="F22" s="40">
        <f>$C$14*$C$5+F21*$C$6</f>
        <v>0.167899</v>
        <v/>
      </c>
      <c r="G22" s="40">
        <f>$C$14*$C$5+G21*$C$6</f>
        <v>0.16776</v>
        <v/>
      </c>
      <c r="H22" s="40">
        <f>$C$14*$C$5+H21*$C$6</f>
        <v>0.165022</v>
        <v/>
      </c>
    </row>
    <row r="24">
      <c r="B24" s="13" t="inlineStr">
        <is>
          <t>Parâmetros de mercado (Rf NTN-B, ERP FGV/Ceqef, Kd das debêntures). A taxa de desconto NÃO é constante: nos primeiros anos a alíquota efetiva é baixa (prejuízo fiscal + crédito presumido de ICMS), o que reduz o benefício fiscal da dívida e ELEVA o WACC; conforme o prejuízo fiscal é consumido e a alíquota normaliza, o benefício fiscal cresce e o WACC CAI. Ke mantido constante (estrutura de capital alvo estável). Cenário SEM reforma tributária: o crédito presumido de ICMS persiste indefinidamente.</t>
        </is>
      </c>
    </row>
    <row r="25"/>
    <row r="26"/>
    <row r="27"/>
  </sheetData>
  <mergeCells count="6">
    <mergeCell ref="B18:H18"/>
    <mergeCell ref="B8:D8"/>
    <mergeCell ref="B4:D4"/>
    <mergeCell ref="B2:H2"/>
    <mergeCell ref="B15:D15"/>
    <mergeCell ref="B24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</cols>
  <sheetData>
    <row r="2" ht="26" customHeight="1">
      <c r="B2" s="28" t="inlineStr">
        <is>
          <t>Imposto de Renda com Prejuízo Fiscal (cenário SEM reforma tributária)</t>
        </is>
      </c>
    </row>
    <row r="4" ht="22" customHeight="1">
      <c r="B4" s="29" t="inlineStr">
        <is>
          <t>Parâmetros (do RI e legislação)</t>
        </is>
      </c>
    </row>
    <row r="5">
      <c r="B5" s="30" t="inlineStr">
        <is>
          <t>Alíquota IRPJ (25%) + CSLL (9%)</t>
        </is>
      </c>
      <c r="C5" s="31" t="n">
        <v>0.34</v>
      </c>
      <c r="I5" s="26" t="inlineStr">
        <is>
          <t>nota 10 das DFs</t>
        </is>
      </c>
    </row>
    <row r="6">
      <c r="B6" s="30" t="inlineStr">
        <is>
          <t>Limite de compensação por ano (trava)</t>
        </is>
      </c>
      <c r="C6" s="31" t="n">
        <v>0.3</v>
      </c>
      <c r="I6" s="26" t="inlineStr">
        <is>
          <t>30% do lucro tributável</t>
        </is>
      </c>
    </row>
    <row r="7">
      <c r="B7" s="30" t="inlineStr">
        <is>
          <t>Subvenção crédito presumido ICMS (% receita)</t>
        </is>
      </c>
      <c r="C7" s="41" t="n">
        <v>0.07123900781562895</v>
      </c>
      <c r="I7" s="26" t="inlineStr">
        <is>
          <t>R$74,3mi÷34%÷receita 2025</t>
        </is>
      </c>
    </row>
    <row r="8">
      <c r="B8" s="39" t="inlineStr">
        <is>
          <t>Estoque de prejuízo fiscal inicial (2025)</t>
        </is>
      </c>
      <c r="C8" s="42" t="n">
        <v>754.9764705882353</v>
      </c>
      <c r="I8" s="26" t="inlineStr">
        <is>
          <t>DTA R$256,7mi ÷ 34%</t>
        </is>
      </c>
    </row>
    <row r="10" ht="22" customHeight="1">
      <c r="B10" s="29" t="inlineStr">
        <is>
          <t>Cálculo do imposto e da alíquota efetiva</t>
        </is>
      </c>
    </row>
    <row r="11">
      <c r="B11" s="16" t="inlineStr">
        <is>
          <t>Ano</t>
        </is>
      </c>
      <c r="C11" s="17" t="inlineStr">
        <is>
          <t>2026E</t>
        </is>
      </c>
      <c r="D11" s="17" t="inlineStr">
        <is>
          <t>2027E</t>
        </is>
      </c>
      <c r="E11" s="17" t="inlineStr">
        <is>
          <t>2028E</t>
        </is>
      </c>
      <c r="F11" s="17" t="inlineStr">
        <is>
          <t>2029E</t>
        </is>
      </c>
      <c r="G11" s="17" t="inlineStr">
        <is>
          <t>2030E</t>
        </is>
      </c>
      <c r="H11" s="35" t="inlineStr">
        <is>
          <t>Perpet.</t>
        </is>
      </c>
    </row>
    <row r="12">
      <c r="B12" s="37" t="inlineStr">
        <is>
          <t>EBIT (lucro operacional)</t>
        </is>
      </c>
      <c r="C12" s="43">
        <f>Projecoes!C11</f>
        <v>446.641686</v>
        <v/>
      </c>
      <c r="D12" s="43">
        <f>Projecoes!D11</f>
        <v>552.976765</v>
        <v/>
      </c>
      <c r="E12" s="43">
        <f>Projecoes!E11</f>
        <v>650.224403</v>
        <v/>
      </c>
      <c r="F12" s="43">
        <f>Projecoes!F11</f>
        <v>747.548313</v>
        <v/>
      </c>
      <c r="G12" s="43">
        <f>Projecoes!G11</f>
        <v>820.264377</v>
        <v/>
      </c>
      <c r="H12" s="43">
        <f>Projecoes!G11*(1+Premissas!C15)</f>
        <v>861.277595</v>
        <v/>
      </c>
    </row>
    <row r="13">
      <c r="B13" s="37" t="inlineStr">
        <is>
          <t>(-) Subvenção (crédito presumido ICMS)</t>
        </is>
      </c>
      <c r="C13" s="21">
        <f>-$C$7*Projecoes!C7</f>
        <v>-244.756235</v>
        <v/>
      </c>
      <c r="D13" s="21">
        <f>-$C$7*Projecoes!D7</f>
        <v>-271.679421</v>
        <v/>
      </c>
      <c r="E13" s="21">
        <f>-$C$7*Projecoes!E7</f>
        <v>-298.847363</v>
        <v/>
      </c>
      <c r="F13" s="21">
        <f>-$C$7*Projecoes!F7</f>
        <v>-322.755152</v>
        <v/>
      </c>
      <c r="G13" s="21">
        <f>-$C$7*Projecoes!G7</f>
        <v>-343.734237</v>
        <v/>
      </c>
      <c r="H13" s="21">
        <f>-$C$7*Projecoes!G7*(1+Premissas!C15)</f>
        <v>-360.920949</v>
        <v/>
      </c>
    </row>
    <row r="14">
      <c r="B14" s="22">
        <f> Lucro tributável antes da compensação</f>
        <v/>
      </c>
      <c r="C14" s="23">
        <f>MAX(C12+C13,0)</f>
        <v>201.885451</v>
        <v/>
      </c>
      <c r="D14" s="23">
        <f>MAX(D12+D13,0)</f>
        <v>281.297344</v>
        <v/>
      </c>
      <c r="E14" s="23">
        <f>MAX(E12+E13,0)</f>
        <v>351.377039</v>
        <v/>
      </c>
      <c r="F14" s="23">
        <f>MAX(F12+F13,0)</f>
        <v>424.793161</v>
        <v/>
      </c>
      <c r="G14" s="23">
        <f>MAX(G12+G13,0)</f>
        <v>476.530139</v>
        <v/>
      </c>
      <c r="H14" s="23">
        <f>MAX(H12+H13,0)</f>
        <v>500.356646</v>
        <v/>
      </c>
    </row>
    <row r="15">
      <c r="B15" s="37" t="inlineStr">
        <is>
          <t>Saldo de prejuízo fiscal (início do ano)</t>
        </is>
      </c>
      <c r="C15" s="21">
        <f>C8</f>
        <v>754.976471</v>
        <v/>
      </c>
      <c r="D15" s="21">
        <f>C17</f>
        <v>694.410835</v>
        <v/>
      </c>
      <c r="E15" s="21">
        <f>D17</f>
        <v>610.021632</v>
        <v/>
      </c>
      <c r="F15" s="21">
        <f>E17</f>
        <v>504.60852</v>
        <v/>
      </c>
      <c r="G15" s="21">
        <f>F17</f>
        <v>377.170572</v>
        <v/>
      </c>
      <c r="H15" s="21" t="n">
        <v>0</v>
      </c>
    </row>
    <row r="16">
      <c r="B16" s="37" t="inlineStr">
        <is>
          <t>(-) Compensação de prejuízo (≤30%)</t>
        </is>
      </c>
      <c r="C16" s="21">
        <f>-MIN($C$6*C14,C15)</f>
        <v>-60.565635</v>
        <v/>
      </c>
      <c r="D16" s="21">
        <f>-MIN($C$6*D14,D15)</f>
        <v>-84.389203</v>
        <v/>
      </c>
      <c r="E16" s="21">
        <f>-MIN($C$6*E14,E15)</f>
        <v>-105.413112</v>
        <v/>
      </c>
      <c r="F16" s="21">
        <f>-MIN($C$6*F14,F15)</f>
        <v>-127.437948</v>
        <v/>
      </c>
      <c r="G16" s="21">
        <f>-MIN($C$6*G14,G15)</f>
        <v>-142.959042</v>
        <v/>
      </c>
      <c r="H16" s="21" t="n">
        <v>0</v>
      </c>
    </row>
    <row r="17">
      <c r="B17" s="37" t="inlineStr">
        <is>
          <t>Saldo de prejuízo fiscal (fim do ano)</t>
        </is>
      </c>
      <c r="C17" s="21">
        <f>C15+C16</f>
        <v>694.410835</v>
        <v/>
      </c>
      <c r="D17" s="21">
        <f>D15+D16</f>
        <v>610.021632</v>
        <v/>
      </c>
      <c r="E17" s="21">
        <f>E15+E16</f>
        <v>504.60852</v>
        <v/>
      </c>
      <c r="F17" s="21">
        <f>F15+F16</f>
        <v>377.170572</v>
        <v/>
      </c>
      <c r="G17" s="21">
        <f>G15+G16</f>
        <v>234.21153</v>
        <v/>
      </c>
      <c r="H17" s="21" t="n">
        <v>0</v>
      </c>
    </row>
    <row r="18">
      <c r="B18" s="44" t="inlineStr">
        <is>
          <t>Imposto corrente (34% × base após comp.)</t>
        </is>
      </c>
      <c r="C18" s="45">
        <f>$C$5*(C14+C16)</f>
        <v>48.048737</v>
        <v/>
      </c>
      <c r="D18" s="45">
        <f>$C$5*(D14+D16)</f>
        <v>66.948768</v>
        <v/>
      </c>
      <c r="E18" s="45">
        <f>$C$5*(E14+E16)</f>
        <v>83.627735</v>
        <v/>
      </c>
      <c r="F18" s="45">
        <f>$C$5*(F14+F16)</f>
        <v>101.100772</v>
        <v/>
      </c>
      <c r="G18" s="45">
        <f>$C$5*(G14+G16)</f>
        <v>113.414173</v>
        <v/>
      </c>
      <c r="H18" s="45">
        <f>$C$5*H14</f>
        <v>170.12126</v>
        <v/>
      </c>
    </row>
    <row r="19">
      <c r="B19" s="18" t="inlineStr">
        <is>
          <t>Alíquota efetiva (imposto ÷ EBIT)</t>
        </is>
      </c>
      <c r="C19" s="8">
        <f>C18/C12</f>
        <v>0.107578</v>
        <v/>
      </c>
      <c r="D19" s="8">
        <f>D18/D12</f>
        <v>0.12107</v>
        <v/>
      </c>
      <c r="E19" s="8">
        <f>E18/E12</f>
        <v>0.128614</v>
        <v/>
      </c>
      <c r="F19" s="8">
        <f>F18/F12</f>
        <v>0.135243</v>
        <v/>
      </c>
      <c r="G19" s="8">
        <f>G18/G12</f>
        <v>0.138265</v>
        <v/>
      </c>
      <c r="H19" s="8">
        <f>H18/H12</f>
        <v>0.197522</v>
        <v/>
      </c>
    </row>
    <row r="21">
      <c r="B21" s="13" t="inlineStr">
        <is>
          <t>Memória: base tributável ≈ EBIT − subvenção de ICMS (excluída da base, pois o crédito presumido persiste sem a reforma). A compensação de prejuízo fiscal é limitada a 30% da base por ano (trava brasileira). A alíquota efetiva sobe de ~11% para ~14% à medida que o prejuízo de R$755mi é consumido; na perpetuidade assume-se prejuízo esgotado (~20%).</t>
        </is>
      </c>
    </row>
    <row r="22"/>
    <row r="23"/>
  </sheetData>
  <mergeCells count="4">
    <mergeCell ref="B21:H23"/>
    <mergeCell ref="B2:H2"/>
    <mergeCell ref="B10:H10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38" customWidth="1" min="4" max="4"/>
  </cols>
  <sheetData>
    <row r="2" ht="26" customHeight="1">
      <c r="B2" s="28" t="inlineStr">
        <is>
          <t>Premissas, Dados-base e Avaliação por Múltiplos</t>
        </is>
      </c>
    </row>
    <row r="4" ht="22" customHeight="1">
      <c r="B4" s="29" t="inlineStr">
        <is>
          <t>1. Dados-base 2025A (R$ milhões)</t>
        </is>
      </c>
    </row>
    <row r="5">
      <c r="B5" s="20" t="inlineStr">
        <is>
          <t>Receita líquida 2025</t>
        </is>
      </c>
      <c r="C5" s="21" t="n">
        <v>3067.594</v>
      </c>
      <c r="D5" s="26" t="inlineStr">
        <is>
          <t>DF Cimed &amp; Co 2025</t>
        </is>
      </c>
    </row>
    <row r="6">
      <c r="B6" s="20" t="inlineStr">
        <is>
          <t>EBIT 2025</t>
        </is>
      </c>
      <c r="C6" s="21" t="n">
        <v>358.827</v>
      </c>
    </row>
    <row r="7">
      <c r="B7" s="20" t="inlineStr">
        <is>
          <t>D&amp;A 2025</t>
        </is>
      </c>
      <c r="C7" s="21" t="n">
        <v>121.334</v>
      </c>
    </row>
    <row r="8">
      <c r="B8" s="4" t="inlineStr">
        <is>
          <t>EBITDA 2025</t>
        </is>
      </c>
      <c r="C8" s="23" t="n">
        <v>480.161</v>
      </c>
    </row>
    <row r="9">
      <c r="B9" s="20" t="inlineStr">
        <is>
          <t xml:space="preserve">  margem EBITDA 2025</t>
        </is>
      </c>
      <c r="C9" s="27" t="n">
        <v>0.1565269067549356</v>
      </c>
    </row>
    <row r="10">
      <c r="B10" s="20" t="inlineStr">
        <is>
          <t>Custo das mercadorias vendidas 2025</t>
        </is>
      </c>
      <c r="C10" s="21" t="n">
        <v>1684.485</v>
      </c>
    </row>
    <row r="12" ht="22" customHeight="1">
      <c r="B12" s="29" t="inlineStr">
        <is>
          <t>2. Premissas gerais</t>
        </is>
      </c>
    </row>
    <row r="13">
      <c r="B13" s="30" t="inlineStr">
        <is>
          <t>D&amp;A (% receita)</t>
        </is>
      </c>
      <c r="C13" s="31" t="n">
        <v>0.04</v>
      </c>
    </row>
    <row r="14">
      <c r="B14" s="30" t="inlineStr">
        <is>
          <t>Crescimento na perpetuidade (g)</t>
        </is>
      </c>
      <c r="C14" s="31" t="n">
        <v>0.05</v>
      </c>
      <c r="D14" s="26" t="inlineStr">
        <is>
          <t>~inflação LP + real</t>
        </is>
      </c>
    </row>
    <row r="15">
      <c r="B15" s="30" t="inlineStr">
        <is>
          <t>Crescimento na perpetuidade (ref. p/ termo)</t>
        </is>
      </c>
      <c r="C15" s="31" t="n">
        <v>0.05</v>
      </c>
      <c r="D15" s="26" t="inlineStr">
        <is>
          <t>usado nas abas Impostos/DCF</t>
        </is>
      </c>
    </row>
    <row r="17" ht="22" customHeight="1">
      <c r="B17" s="29" t="inlineStr">
        <is>
          <t>3. Ponte para Equity — dívida líquida 2025</t>
        </is>
      </c>
    </row>
    <row r="18">
      <c r="B18" s="20" t="inlineStr">
        <is>
          <t>Empréstimos, financ. e debêntures</t>
        </is>
      </c>
      <c r="C18" s="21" t="n">
        <v>1633.539</v>
      </c>
    </row>
    <row r="19">
      <c r="B19" s="20" t="inlineStr">
        <is>
          <t>(+) Arrendamento (leasing)</t>
        </is>
      </c>
      <c r="C19" s="21" t="n">
        <v>157.884</v>
      </c>
    </row>
    <row r="20">
      <c r="B20" s="4">
        <f> Dívida bruta</f>
        <v/>
      </c>
      <c r="C20" s="23" t="n">
        <v>1791.423</v>
      </c>
    </row>
    <row r="21">
      <c r="B21" s="20" t="inlineStr">
        <is>
          <t>(-) Caixa + TVM</t>
        </is>
      </c>
      <c r="C21" s="21" t="n">
        <v>438.377</v>
      </c>
    </row>
    <row r="22">
      <c r="B22" s="44">
        <f> Dívida líquida</f>
        <v/>
      </c>
      <c r="C22" s="46" t="n">
        <v>1353.046</v>
      </c>
      <c r="D22" s="26" t="inlineStr">
        <is>
          <t>ND/EBITDA=2,8x</t>
        </is>
      </c>
    </row>
    <row r="24" ht="22" customHeight="1">
      <c r="B24" s="29" t="inlineStr">
        <is>
          <t>4. Avaliação por múltiplos (cross-check de mercado)</t>
        </is>
      </c>
    </row>
    <row r="25">
      <c r="B25" s="16" t="inlineStr">
        <is>
          <t>Comparável (B3)</t>
        </is>
      </c>
      <c r="C25" s="17" t="inlineStr">
        <is>
          <t>EV/EBITDA</t>
        </is>
      </c>
      <c r="D25" s="16" t="inlineStr">
        <is>
          <t>Ref.</t>
        </is>
      </c>
    </row>
    <row r="26">
      <c r="B26" s="20" t="inlineStr">
        <is>
          <t>Hypera (HYPE3)</t>
        </is>
      </c>
      <c r="C26" s="47" t="n">
        <v>7.56</v>
      </c>
      <c r="D26" s="26" t="inlineStr">
        <is>
          <t>mar/26; EV R$22,7bi</t>
        </is>
      </c>
    </row>
    <row r="27">
      <c r="B27" s="20" t="inlineStr">
        <is>
          <t>Blau (BLAU3)</t>
        </is>
      </c>
      <c r="C27" s="47" t="n">
        <v>6.5</v>
      </c>
      <c r="D27" s="26" t="inlineStr">
        <is>
          <t>caixa líq.</t>
        </is>
      </c>
    </row>
    <row r="28">
      <c r="B28" s="39" t="inlineStr">
        <is>
          <t>EV/EBITDA selecionado (forward 2026E)</t>
        </is>
      </c>
      <c r="C28" s="48" t="n">
        <v>7</v>
      </c>
    </row>
    <row r="29">
      <c r="B29" s="24">
        <f> Enterprise Value (múltiplos)</f>
        <v/>
      </c>
      <c r="C29" s="25" t="n">
        <v>4088.489283200001</v>
      </c>
    </row>
    <row r="30">
      <c r="B30" s="20" t="inlineStr">
        <is>
          <t>(-) Dívida líquida</t>
        </is>
      </c>
      <c r="C30" s="21" t="n">
        <v>-1353.046</v>
      </c>
    </row>
    <row r="31">
      <c r="B31" s="24">
        <f> Equity Value (múltiplos)</f>
        <v/>
      </c>
      <c r="C31" s="25" t="n">
        <v>2735.4432832</v>
      </c>
    </row>
  </sheetData>
  <mergeCells count="5">
    <mergeCell ref="B4:D4"/>
    <mergeCell ref="B17:D17"/>
    <mergeCell ref="B12:D12"/>
    <mergeCell ref="B24:D24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4" customWidth="1" min="8" max="8"/>
  </cols>
  <sheetData>
    <row r="2" ht="26" customHeight="1">
      <c r="B2" s="28" t="inlineStr">
        <is>
          <t>Capital de Giro — Dias de Giro (memória de cálculo) — R$ milhões</t>
        </is>
      </c>
    </row>
    <row r="4">
      <c r="B4" s="16" t="inlineStr">
        <is>
          <t>Histórico (real)</t>
        </is>
      </c>
      <c r="C4" s="17" t="inlineStr">
        <is>
          <t>2024</t>
        </is>
      </c>
      <c r="D4" s="17" t="inlineStr">
        <is>
          <t>2025</t>
        </is>
      </c>
      <c r="H4" s="16" t="inlineStr">
        <is>
          <t>Fórmula</t>
        </is>
      </c>
    </row>
    <row r="5">
      <c r="B5" s="20" t="inlineStr">
        <is>
          <t>Receita líquida</t>
        </is>
      </c>
      <c r="C5" s="43" t="n">
        <v>2726.887</v>
      </c>
      <c r="D5" s="43" t="n">
        <v>3067.594</v>
      </c>
    </row>
    <row r="6">
      <c r="B6" s="20" t="inlineStr">
        <is>
          <t>Custo das mercadorias vendidas (CMV)</t>
        </is>
      </c>
      <c r="C6" s="43" t="n">
        <v>1402.853</v>
      </c>
      <c r="D6" s="43" t="n">
        <v>1684.485</v>
      </c>
    </row>
    <row r="7">
      <c r="B7" s="20" t="inlineStr">
        <is>
          <t>Contas a receber</t>
        </is>
      </c>
      <c r="C7" s="43" t="n">
        <v>757.47</v>
      </c>
      <c r="D7" s="43" t="n">
        <v>1106.327</v>
      </c>
    </row>
    <row r="8">
      <c r="B8" s="20" t="inlineStr">
        <is>
          <t>Estoques</t>
        </is>
      </c>
      <c r="C8" s="43" t="n">
        <v>507.999</v>
      </c>
      <c r="D8" s="43" t="n">
        <v>699.5069999999999</v>
      </c>
    </row>
    <row r="9">
      <c r="B9" s="20" t="inlineStr">
        <is>
          <t>Fornecedores</t>
        </is>
      </c>
      <c r="C9" s="43" t="n">
        <v>623.978</v>
      </c>
      <c r="D9" s="43" t="n">
        <v>677.3920000000001</v>
      </c>
    </row>
    <row r="10">
      <c r="B10" s="18">
        <f> Capital de giro (AR+Estoq−Forn)</f>
        <v/>
      </c>
      <c r="C10" s="5" t="n">
        <v>641.4910000000001</v>
      </c>
      <c r="D10" s="5" t="n">
        <v>1128.442</v>
      </c>
      <c r="H10" s="26">
        <f> linha7 + linha8 − linha9</f>
        <v/>
      </c>
    </row>
    <row r="11">
      <c r="B11" s="20" t="inlineStr">
        <is>
          <t xml:space="preserve">  % da receita líquida</t>
        </is>
      </c>
      <c r="C11" s="27" t="n">
        <v>0.2352466383828886</v>
      </c>
      <c r="D11" s="27" t="n">
        <v>0.3678589800345156</v>
      </c>
      <c r="H11" s="26">
        <f> CG ÷ Receita</f>
        <v/>
      </c>
    </row>
    <row r="12">
      <c r="B12" s="20" t="inlineStr">
        <is>
          <t xml:space="preserve">  DSO — prazo médio recebimento</t>
        </is>
      </c>
      <c r="C12" s="49" t="n">
        <v>101.3890747948118</v>
      </c>
      <c r="D12" s="49" t="n">
        <v>131.6371576551525</v>
      </c>
      <c r="H12" s="26">
        <f> AR ÷ Receita × 365</f>
        <v/>
      </c>
    </row>
    <row r="13">
      <c r="B13" s="20" t="inlineStr">
        <is>
          <t xml:space="preserve">  DIO — prazo médio estoques</t>
        </is>
      </c>
      <c r="C13" s="49" t="n">
        <v>132.1732462346376</v>
      </c>
      <c r="D13" s="49" t="n">
        <v>151.5715812251222</v>
      </c>
      <c r="H13" s="26">
        <f> Estoque ÷ CMV × 365</f>
        <v/>
      </c>
    </row>
    <row r="14">
      <c r="B14" s="20" t="inlineStr">
        <is>
          <t xml:space="preserve">  DPO — prazo médio fornecedores</t>
        </is>
      </c>
      <c r="C14" s="49" t="n">
        <v>162.3491342286041</v>
      </c>
      <c r="D14" s="49" t="n">
        <v>146.7796270076611</v>
      </c>
      <c r="H14" s="26">
        <f> Forn. ÷ CMV × 365</f>
        <v/>
      </c>
    </row>
    <row r="15">
      <c r="B15" s="4" t="inlineStr">
        <is>
          <t xml:space="preserve">  Ciclo de conversão de caixa</t>
        </is>
      </c>
      <c r="C15" s="50" t="n">
        <v>71.21318680084528</v>
      </c>
      <c r="D15" s="50" t="n">
        <v>136.4291118726136</v>
      </c>
      <c r="H15" s="26">
        <f> DSO + DIO − DPO</f>
        <v/>
      </c>
    </row>
    <row r="17">
      <c r="B17" s="16" t="inlineStr">
        <is>
          <t>Projeção — premissas de dias de giro</t>
        </is>
      </c>
      <c r="C17" s="17" t="inlineStr">
        <is>
          <t>2026E</t>
        </is>
      </c>
      <c r="D17" s="17" t="inlineStr">
        <is>
          <t>2027E</t>
        </is>
      </c>
      <c r="E17" s="17" t="inlineStr">
        <is>
          <t>2028E</t>
        </is>
      </c>
      <c r="F17" s="17" t="inlineStr">
        <is>
          <t>2029E</t>
        </is>
      </c>
      <c r="G17" s="17" t="inlineStr">
        <is>
          <t>2030E</t>
        </is>
      </c>
    </row>
    <row r="18">
      <c r="B18" s="30" t="inlineStr">
        <is>
          <t>DSO — recebimento (dias)</t>
        </is>
      </c>
      <c r="C18" s="51" t="n">
        <v>128</v>
      </c>
      <c r="D18" s="51" t="n">
        <v>124</v>
      </c>
      <c r="E18" s="51" t="n">
        <v>120</v>
      </c>
      <c r="F18" s="51" t="n">
        <v>117</v>
      </c>
      <c r="G18" s="51" t="n">
        <v>115</v>
      </c>
    </row>
    <row r="19">
      <c r="B19" s="30" t="inlineStr">
        <is>
          <t>DIO — estoques (dias)</t>
        </is>
      </c>
      <c r="C19" s="51" t="n">
        <v>145</v>
      </c>
      <c r="D19" s="51" t="n">
        <v>138</v>
      </c>
      <c r="E19" s="51" t="n">
        <v>132</v>
      </c>
      <c r="F19" s="51" t="n">
        <v>128</v>
      </c>
      <c r="G19" s="51" t="n">
        <v>125</v>
      </c>
    </row>
    <row r="20">
      <c r="B20" s="30" t="inlineStr">
        <is>
          <t>DPO — fornecedores (dias)</t>
        </is>
      </c>
      <c r="C20" s="51" t="n">
        <v>148</v>
      </c>
      <c r="D20" s="51" t="n">
        <v>150</v>
      </c>
      <c r="E20" s="51" t="n">
        <v>150</v>
      </c>
      <c r="F20" s="51" t="n">
        <v>150</v>
      </c>
      <c r="G20" s="51" t="n">
        <v>150</v>
      </c>
    </row>
    <row r="21">
      <c r="B21" s="20" t="inlineStr">
        <is>
          <t>Receita líquida</t>
        </is>
      </c>
      <c r="C21" s="52">
        <f>Projecoes!C7</f>
        <v>3435.70528</v>
        <v/>
      </c>
      <c r="D21" s="52">
        <f>Projecoes!D7</f>
        <v>3813.632861</v>
        <v/>
      </c>
      <c r="E21" s="52">
        <f>Projecoes!E7</f>
        <v>4194.996147</v>
        <v/>
      </c>
      <c r="F21" s="52">
        <f>Projecoes!F7</f>
        <v>4530.595839</v>
        <v/>
      </c>
      <c r="G21" s="52">
        <f>Projecoes!G7</f>
        <v>4825.084568</v>
        <v/>
      </c>
    </row>
    <row r="22">
      <c r="B22" s="37" t="inlineStr">
        <is>
          <t>CMV (= % CMV × receita)</t>
        </is>
      </c>
      <c r="C22" s="43">
        <f>0.54*C21</f>
        <v>1855.280851</v>
        <v/>
      </c>
      <c r="D22" s="43">
        <f>0.53*D21</f>
        <v>2021.225416</v>
        <v/>
      </c>
      <c r="E22" s="43">
        <f>0.52*E21</f>
        <v>2181.397996</v>
        <v/>
      </c>
      <c r="F22" s="43">
        <f>0.515*F21</f>
        <v>2333.256857</v>
        <v/>
      </c>
      <c r="G22" s="43">
        <f>0.51*G21</f>
        <v>2460.79313</v>
        <v/>
      </c>
    </row>
    <row r="23">
      <c r="B23" s="37" t="inlineStr">
        <is>
          <t>Contas a receber (=DSO÷365×Receita)</t>
        </is>
      </c>
      <c r="C23" s="43">
        <f>C18/365*C21</f>
        <v>1204.850071</v>
        <v/>
      </c>
      <c r="D23" s="43">
        <f>D18/365*D21</f>
        <v>1295.590342</v>
        <v/>
      </c>
      <c r="E23" s="43">
        <f>E18/365*E21</f>
        <v>1379.176815</v>
        <v/>
      </c>
      <c r="F23" s="43">
        <f>F18/365*F21</f>
        <v>1452.273187</v>
        <v/>
      </c>
      <c r="G23" s="43">
        <f>G18/365*G21</f>
        <v>1520.232124</v>
        <v/>
      </c>
    </row>
    <row r="24">
      <c r="B24" s="37" t="inlineStr">
        <is>
          <t>(+) Estoques (=DIO÷365×CMV)</t>
        </is>
      </c>
      <c r="C24" s="43">
        <f>C19/365*C22</f>
        <v>737.029379</v>
        <v/>
      </c>
      <c r="D24" s="43">
        <f>D19/365*D22</f>
        <v>764.189335</v>
        <v/>
      </c>
      <c r="E24" s="43">
        <f>E19/365*E22</f>
        <v>788.889138</v>
        <v/>
      </c>
      <c r="F24" s="43">
        <f>F19/365*F22</f>
        <v>818.238021</v>
        <v/>
      </c>
      <c r="G24" s="43">
        <f>G19/365*G22</f>
        <v>842.737373</v>
        <v/>
      </c>
    </row>
    <row r="25">
      <c r="B25" s="37" t="inlineStr">
        <is>
          <t>(-) Fornecedores (=DPO÷365×CMV)</t>
        </is>
      </c>
      <c r="C25" s="43">
        <f>-C20/365*C22</f>
        <v>-752.278263</v>
        <v/>
      </c>
      <c r="D25" s="43">
        <f>-D20/365*D22</f>
        <v>-830.640582</v>
        <v/>
      </c>
      <c r="E25" s="43">
        <f>-E20/365*E22</f>
        <v>-896.46493</v>
        <v/>
      </c>
      <c r="F25" s="43">
        <f>-F20/365*F22</f>
        <v>-958.872681</v>
        <v/>
      </c>
      <c r="G25" s="43">
        <f>-G20/365*G22</f>
        <v>-1011.284848</v>
        <v/>
      </c>
    </row>
    <row r="26">
      <c r="B26" s="18">
        <f> Capital de giro líquido</f>
        <v/>
      </c>
      <c r="C26" s="5">
        <f>C23+C24+C25</f>
        <v>1189.601187</v>
        <v/>
      </c>
      <c r="D26" s="5">
        <f>D23+D24+D25</f>
        <v>1229.139095</v>
        <v/>
      </c>
      <c r="E26" s="5">
        <f>E23+E24+E25</f>
        <v>1271.601024</v>
        <v/>
      </c>
      <c r="F26" s="5">
        <f>F23+F24+F25</f>
        <v>1311.638527</v>
        <v/>
      </c>
      <c r="G26" s="5">
        <f>G23+G24+G25</f>
        <v>1351.68465</v>
        <v/>
      </c>
    </row>
    <row r="27">
      <c r="B27" s="37" t="inlineStr">
        <is>
          <t>Ciclo de conversão de caixa (DSO+DIO−DPO)</t>
        </is>
      </c>
      <c r="C27" s="49">
        <f>C18+C19-C20</f>
        <v>125.0</v>
        <v/>
      </c>
      <c r="D27" s="49">
        <f>D18+D19-D20</f>
        <v>112.0</v>
        <v/>
      </c>
      <c r="E27" s="49">
        <f>E18+E19-E20</f>
        <v>102.0</v>
        <v/>
      </c>
      <c r="F27" s="49">
        <f>F18+F19-F20</f>
        <v>95.0</v>
        <v/>
      </c>
      <c r="G27" s="49">
        <f>G18+G19-G20</f>
        <v>90.0</v>
        <v/>
      </c>
    </row>
    <row r="28">
      <c r="B28" s="24">
        <f> Variação do capital de giro (ΔWC)</f>
        <v/>
      </c>
      <c r="C28" s="7">
        <f>C26-D10</f>
        <v>61.159187</v>
        <v/>
      </c>
      <c r="D28" s="7">
        <f>D26-C26</f>
        <v>39.537908</v>
        <v/>
      </c>
      <c r="E28" s="7">
        <f>E26-D26</f>
        <v>42.461929</v>
        <v/>
      </c>
      <c r="F28" s="7">
        <f>F26-E26</f>
        <v>40.037503</v>
        <v/>
      </c>
      <c r="G28" s="7">
        <f>G26-F26</f>
        <v>40.046123</v>
        <v/>
      </c>
    </row>
    <row r="30">
      <c r="B30" s="13" t="inlineStr">
        <is>
          <t>Em 2025 o ciclo de caixa saltou de 71 para 136 dias (estoques +38%, recebíveis +46%), consumindo ~R$487mi — origem do FCO negativo. A projeção assume melhora gradual de eficiência (DSO 132→115, DIO 152→125, DPO ~150), reduzindo o ΔWC. ΔWC positivo consome caixa no FCFF.</t>
        </is>
      </c>
    </row>
    <row r="31"/>
    <row r="32"/>
  </sheetData>
  <mergeCells count="2">
    <mergeCell ref="B2:G2"/>
    <mergeCell ref="B30:G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Projeção — FCFF Desalavancado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37" t="inlineStr">
        <is>
          <t>Crescimento da receita (%)</t>
        </is>
      </c>
      <c r="C6" s="31" t="n">
        <v>0.12</v>
      </c>
      <c r="D6" s="31" t="n">
        <v>0.11</v>
      </c>
      <c r="E6" s="31" t="n">
        <v>0.1</v>
      </c>
      <c r="F6" s="31" t="n">
        <v>0.08</v>
      </c>
      <c r="G6" s="31" t="n">
        <v>0.065</v>
      </c>
    </row>
    <row r="7">
      <c r="B7" s="4" t="inlineStr">
        <is>
          <t>Receita líquida</t>
        </is>
      </c>
      <c r="C7" s="9">
        <f>Premissas!$C$5*(1+C6)</f>
        <v>3435.70528</v>
        <v/>
      </c>
      <c r="D7" s="9">
        <f>C7*(1+D6)</f>
        <v>3813.632861</v>
        <v/>
      </c>
      <c r="E7" s="9">
        <f>D7*(1+E6)</f>
        <v>4194.996147</v>
        <v/>
      </c>
      <c r="F7" s="9">
        <f>E7*(1+F6)</f>
        <v>4530.595839</v>
        <v/>
      </c>
      <c r="G7" s="9">
        <f>F7*(1+G6)</f>
        <v>4825.084568</v>
        <v/>
      </c>
    </row>
    <row r="8">
      <c r="B8" s="37" t="inlineStr">
        <is>
          <t>Margem EBITDA (%)</t>
        </is>
      </c>
      <c r="C8" s="31" t="n">
        <v>0.17</v>
      </c>
      <c r="D8" s="31" t="n">
        <v>0.185</v>
      </c>
      <c r="E8" s="31" t="n">
        <v>0.195</v>
      </c>
      <c r="F8" s="31" t="n">
        <v>0.205</v>
      </c>
      <c r="G8" s="31" t="n">
        <v>0.21</v>
      </c>
    </row>
    <row r="9">
      <c r="B9" s="18" t="inlineStr">
        <is>
          <t>EBITDA</t>
        </is>
      </c>
      <c r="C9" s="5">
        <f>C7*C8</f>
        <v>584.069898</v>
        <v/>
      </c>
      <c r="D9" s="5">
        <f>D7*D8</f>
        <v>705.522079</v>
        <v/>
      </c>
      <c r="E9" s="5">
        <f>E7*E8</f>
        <v>818.024249</v>
        <v/>
      </c>
      <c r="F9" s="5">
        <f>F7*F8</f>
        <v>928.772147</v>
        <v/>
      </c>
      <c r="G9" s="5">
        <f>G7*G8</f>
        <v>1013.267759</v>
        <v/>
      </c>
    </row>
    <row r="10">
      <c r="B10" s="37" t="inlineStr">
        <is>
          <t>(-) Depreciação &amp; amortização</t>
        </is>
      </c>
      <c r="C10" s="21">
        <f>-C7*Premissas!$C$13</f>
        <v>-137.428211</v>
        <v/>
      </c>
      <c r="D10" s="21">
        <f>-D7*Premissas!$C$13</f>
        <v>-152.545314</v>
        <v/>
      </c>
      <c r="E10" s="21">
        <f>-E7*Premissas!$C$13</f>
        <v>-167.799846</v>
        <v/>
      </c>
      <c r="F10" s="21">
        <f>-F7*Premissas!$C$13</f>
        <v>-181.223834</v>
        <v/>
      </c>
      <c r="G10" s="21">
        <f>-G7*Premissas!$C$13</f>
        <v>-193.003383</v>
        <v/>
      </c>
    </row>
    <row r="11">
      <c r="B11" s="22">
        <f> EBIT</f>
        <v/>
      </c>
      <c r="C11" s="23">
        <f>C9+C10</f>
        <v>446.641686</v>
        <v/>
      </c>
      <c r="D11" s="23">
        <f>D9+D10</f>
        <v>552.976765</v>
        <v/>
      </c>
      <c r="E11" s="23">
        <f>E9+E10</f>
        <v>650.224403</v>
        <v/>
      </c>
      <c r="F11" s="23">
        <f>F9+F10</f>
        <v>747.548313</v>
        <v/>
      </c>
      <c r="G11" s="23">
        <f>G9+G10</f>
        <v>820.264377</v>
        <v/>
      </c>
    </row>
    <row r="12">
      <c r="B12" s="37" t="inlineStr">
        <is>
          <t>(-) Imposto corrente (com prej. fiscal)</t>
        </is>
      </c>
      <c r="C12" s="21">
        <f>-Impostos!C18</f>
        <v>-48.048737</v>
        <v/>
      </c>
      <c r="D12" s="21">
        <f>-Impostos!D18</f>
        <v>-66.948768</v>
        <v/>
      </c>
      <c r="E12" s="21">
        <f>-Impostos!E18</f>
        <v>-83.627735</v>
        <v/>
      </c>
      <c r="F12" s="21">
        <f>-Impostos!F18</f>
        <v>-101.100772</v>
        <v/>
      </c>
      <c r="G12" s="21">
        <f>-Impostos!G18</f>
        <v>-113.414173</v>
        <v/>
      </c>
    </row>
    <row r="13">
      <c r="B13" s="22">
        <f> NOPAT (após imposto caixa)</f>
        <v/>
      </c>
      <c r="C13" s="23">
        <f>C11+C12</f>
        <v>398.592949</v>
        <v/>
      </c>
      <c r="D13" s="23">
        <f>D11+D12</f>
        <v>486.027997</v>
        <v/>
      </c>
      <c r="E13" s="23">
        <f>E11+E12</f>
        <v>566.596667</v>
        <v/>
      </c>
      <c r="F13" s="23">
        <f>F11+F12</f>
        <v>646.447541</v>
        <v/>
      </c>
      <c r="G13" s="23">
        <f>G11+G12</f>
        <v>706.850203</v>
        <v/>
      </c>
    </row>
    <row r="14">
      <c r="B14" s="37" t="inlineStr">
        <is>
          <t>(+) Depreciação &amp; amortização</t>
        </is>
      </c>
      <c r="C14" s="21">
        <f>-C10</f>
        <v>137.428211</v>
        <v/>
      </c>
      <c r="D14" s="21">
        <f>-D10</f>
        <v>152.545314</v>
        <v/>
      </c>
      <c r="E14" s="21">
        <f>-E10</f>
        <v>167.799846</v>
        <v/>
      </c>
      <c r="F14" s="21">
        <f>-F10</f>
        <v>181.223834</v>
        <v/>
      </c>
      <c r="G14" s="21">
        <f>-G10</f>
        <v>193.003383</v>
        <v/>
      </c>
    </row>
    <row r="15">
      <c r="B15" s="37" t="inlineStr">
        <is>
          <t>Capex (% receita)</t>
        </is>
      </c>
      <c r="C15" s="31" t="n">
        <v>0.06</v>
      </c>
      <c r="D15" s="31" t="n">
        <v>0.055</v>
      </c>
      <c r="E15" s="31" t="n">
        <v>0.05</v>
      </c>
      <c r="F15" s="31" t="n">
        <v>0.047</v>
      </c>
      <c r="G15" s="31" t="n">
        <v>0.045</v>
      </c>
    </row>
    <row r="16">
      <c r="B16" s="37" t="inlineStr">
        <is>
          <t>(-) Capex</t>
        </is>
      </c>
      <c r="C16" s="21">
        <f>-C7*C15</f>
        <v>-206.142317</v>
        <v/>
      </c>
      <c r="D16" s="21">
        <f>-D7*D15</f>
        <v>-209.749807</v>
        <v/>
      </c>
      <c r="E16" s="21">
        <f>-E7*E15</f>
        <v>-209.749807</v>
        <v/>
      </c>
      <c r="F16" s="21">
        <f>-F7*F15</f>
        <v>-212.938004</v>
        <v/>
      </c>
      <c r="G16" s="21">
        <f>-G7*G15</f>
        <v>-217.128806</v>
        <v/>
      </c>
    </row>
    <row r="17">
      <c r="B17" s="37" t="inlineStr">
        <is>
          <t>(-) Variação de capital de giro</t>
        </is>
      </c>
      <c r="C17" s="21">
        <f>-Capital_de_Giro!C28</f>
        <v>-61.159187</v>
        <v/>
      </c>
      <c r="D17" s="21">
        <f>-Capital_de_Giro!D28</f>
        <v>-39.537908</v>
        <v/>
      </c>
      <c r="E17" s="21">
        <f>-Capital_de_Giro!E28</f>
        <v>-42.461929</v>
        <v/>
      </c>
      <c r="F17" s="21">
        <f>-Capital_de_Giro!F28</f>
        <v>-40.037503</v>
        <v/>
      </c>
      <c r="G17" s="21">
        <f>-Capital_de_Giro!G28</f>
        <v>-40.046123</v>
        <v/>
      </c>
    </row>
    <row r="18">
      <c r="B18" s="24">
        <f> FCFF</f>
        <v/>
      </c>
      <c r="C18" s="7">
        <f>C13+C14+C16+C17</f>
        <v>268.719656</v>
        <v/>
      </c>
      <c r="D18" s="7">
        <f>D13+D14+D16+D17</f>
        <v>389.285596</v>
        <v/>
      </c>
      <c r="E18" s="7">
        <f>E13+E14+E16+E17</f>
        <v>482.184777</v>
        <v/>
      </c>
      <c r="F18" s="7">
        <f>F13+F14+F16+F17</f>
        <v>574.695867</v>
        <v/>
      </c>
      <c r="G18" s="7">
        <f>G13+G14+G16+G17</f>
        <v>642.678658</v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DCF — Desconto com WACC Variável e Conclusão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37" t="inlineStr">
        <is>
          <t>FCFF</t>
        </is>
      </c>
      <c r="C5" s="43">
        <f>Projecoes!C18</f>
        <v>268.719656</v>
        <v/>
      </c>
      <c r="D5" s="43">
        <f>Projecoes!D18</f>
        <v>389.285596</v>
        <v/>
      </c>
      <c r="E5" s="43">
        <f>Projecoes!E18</f>
        <v>482.184777</v>
        <v/>
      </c>
      <c r="F5" s="43">
        <f>Projecoes!F18</f>
        <v>574.695867</v>
        <v/>
      </c>
      <c r="G5" s="43">
        <f>Projecoes!G18</f>
        <v>642.678658</v>
        <v/>
      </c>
    </row>
    <row r="6">
      <c r="B6" s="37" t="inlineStr">
        <is>
          <t>WACC do ano</t>
        </is>
      </c>
      <c r="C6" s="38">
        <f>WACC!C22</f>
        <v>0.169177</v>
        <v/>
      </c>
      <c r="D6" s="38">
        <f>WACC!D22</f>
        <v>0.168554</v>
        <v/>
      </c>
      <c r="E6" s="38">
        <f>WACC!E22</f>
        <v>0.168206</v>
        <v/>
      </c>
      <c r="F6" s="38">
        <f>WACC!F22</f>
        <v>0.167899</v>
        <v/>
      </c>
      <c r="G6" s="38">
        <f>WACC!G22</f>
        <v>0.16776</v>
        <v/>
      </c>
    </row>
    <row r="7">
      <c r="B7" s="37" t="inlineStr">
        <is>
          <t>Fator de desconto (acumulado)</t>
        </is>
      </c>
      <c r="C7" s="53">
        <f>1/(1+C6)</f>
        <v>0.855302</v>
        <v/>
      </c>
      <c r="D7" s="53">
        <f>C7/(1+D6)</f>
        <v>0.731932</v>
        <v/>
      </c>
      <c r="E7" s="53">
        <f>D7/(1+E6)</f>
        <v>0.626544</v>
        <v/>
      </c>
      <c r="F7" s="53">
        <f>E7/(1+F6)</f>
        <v>0.536471</v>
        <v/>
      </c>
      <c r="G7" s="53">
        <f>F7/(1+G6)</f>
        <v>0.459402</v>
        <v/>
      </c>
    </row>
    <row r="8">
      <c r="B8" s="24" t="inlineStr">
        <is>
          <t>FCFF a valor presente</t>
        </is>
      </c>
      <c r="C8" s="25">
        <f>C5*C7</f>
        <v>229.836497</v>
        <v/>
      </c>
      <c r="D8" s="25">
        <f>D5*D7</f>
        <v>284.930573</v>
        <v/>
      </c>
      <c r="E8" s="25">
        <f>E5*E7</f>
        <v>302.109874</v>
        <v/>
      </c>
      <c r="F8" s="25">
        <f>F5*F7</f>
        <v>308.307496</v>
        <v/>
      </c>
      <c r="G8" s="25">
        <f>G5*G7</f>
        <v>295.247616</v>
        <v/>
      </c>
    </row>
    <row r="11">
      <c r="B11" s="4" t="inlineStr">
        <is>
          <t>Soma do VP dos FCFF (2026–2030)</t>
        </is>
      </c>
      <c r="C11" s="23">
        <f>SUM(C8:G8)</f>
        <v>1420.432056</v>
        <v/>
      </c>
    </row>
    <row r="13">
      <c r="B13" s="20" t="inlineStr">
        <is>
          <t>FCFF terminal (2030 × (1+g))</t>
        </is>
      </c>
      <c r="C13" s="21">
        <f>G5*(1+Premissas!C14)</f>
        <v>674.812591</v>
        <v/>
      </c>
    </row>
    <row r="14">
      <c r="B14" s="20" t="inlineStr">
        <is>
          <t>WACC na perpetuidade</t>
        </is>
      </c>
      <c r="C14" s="38">
        <f>WACC!H22</f>
        <v>0.165022</v>
        <v/>
      </c>
    </row>
    <row r="15">
      <c r="B15" s="4" t="inlineStr">
        <is>
          <t>Valor Terminal = FCFFt/(WACC−g)</t>
        </is>
      </c>
      <c r="C15" s="54">
        <f>C13/(C14-Premissas!C14)</f>
        <v>5866.810249</v>
        <v/>
      </c>
    </row>
    <row r="16">
      <c r="B16" s="24" t="inlineStr">
        <is>
          <t>Valor Terminal a valor presente</t>
        </is>
      </c>
      <c r="C16" s="25">
        <f>C15*G7</f>
        <v>2695.222131</v>
        <v/>
      </c>
    </row>
    <row r="18">
      <c r="B18" s="20" t="inlineStr">
        <is>
          <t>VP fluxos explícitos</t>
        </is>
      </c>
      <c r="C18" s="21">
        <f>C11</f>
        <v>1420.432056</v>
        <v/>
      </c>
    </row>
    <row r="19">
      <c r="B19" s="18" t="inlineStr">
        <is>
          <t>ENTERPRISE VALUE (EV)</t>
        </is>
      </c>
      <c r="C19" s="5">
        <f>C18+C16</f>
        <v>4115.654188</v>
        <v/>
      </c>
    </row>
    <row r="20">
      <c r="B20" s="20" t="inlineStr">
        <is>
          <t>% do EV no Valor Terminal</t>
        </is>
      </c>
      <c r="C20" s="27">
        <f>C16/C19</f>
        <v>0.654871</v>
        <v/>
      </c>
    </row>
    <row r="22">
      <c r="B22" s="20" t="inlineStr">
        <is>
          <t>(-) Dívida líquida (2025)</t>
        </is>
      </c>
      <c r="C22" s="21">
        <f>-Premissas!C22</f>
        <v>-1353.046</v>
        <v/>
      </c>
    </row>
    <row r="23">
      <c r="B23" s="24" t="inlineStr">
        <is>
          <t>EQUITY VALUE (DCF)</t>
        </is>
      </c>
      <c r="C23" s="7">
        <f>C19+C22</f>
        <v>2762.608188</v>
        <v/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2026-06-17T22:35:01Z</dcterms:created>
  <dcterms:modified xsi:type="dcterms:W3CDTF">2026-06-17T22:35:01Z</dcterms:modified>
</cp:coreProperties>
</file>